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06a59701a10497/Documents/"/>
    </mc:Choice>
  </mc:AlternateContent>
  <xr:revisionPtr revIDLastSave="0" documentId="8_{0343E780-E753-423A-8197-EA44B58A71F3}" xr6:coauthVersionLast="47" xr6:coauthVersionMax="47" xr10:uidLastSave="{00000000-0000-0000-0000-000000000000}"/>
  <bookViews>
    <workbookView xWindow="-108" yWindow="-108" windowWidth="23256" windowHeight="13896" activeTab="2" xr2:uid="{8396DC1A-F78B-498A-B810-ECEE6A146B85}"/>
  </bookViews>
  <sheets>
    <sheet name="Raw Data" sheetId="1" r:id="rId1"/>
    <sheet name="Monthly Summary" sheetId="2" r:id="rId2"/>
    <sheet name="Heatmap" sheetId="3" r:id="rId3"/>
    <sheet name="Dashboar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3" l="1"/>
  <c r="M11" i="3"/>
  <c r="K11" i="3"/>
  <c r="J11" i="3"/>
  <c r="I11" i="3"/>
  <c r="H11" i="3"/>
  <c r="G11" i="3"/>
  <c r="F11" i="3"/>
  <c r="E11" i="3"/>
  <c r="C5" i="3"/>
  <c r="C6" i="3"/>
  <c r="C7" i="3"/>
  <c r="C8" i="3"/>
  <c r="C9" i="3"/>
  <c r="C10" i="3"/>
  <c r="N10" i="3" s="1"/>
  <c r="B11" i="3"/>
  <c r="M10" i="3"/>
  <c r="L10" i="3"/>
  <c r="K10" i="3"/>
  <c r="J10" i="3"/>
  <c r="I10" i="3"/>
  <c r="H10" i="3"/>
  <c r="G10" i="3"/>
  <c r="F10" i="3"/>
  <c r="E10" i="3"/>
  <c r="D10" i="3"/>
  <c r="B10" i="3"/>
  <c r="N9" i="3"/>
  <c r="M9" i="3"/>
  <c r="L9" i="3"/>
  <c r="K9" i="3"/>
  <c r="J9" i="3"/>
  <c r="I9" i="3"/>
  <c r="H9" i="3"/>
  <c r="G9" i="3"/>
  <c r="F9" i="3"/>
  <c r="E9" i="3"/>
  <c r="D9" i="3"/>
  <c r="B9" i="3"/>
  <c r="N8" i="3"/>
  <c r="M8" i="3"/>
  <c r="L8" i="3"/>
  <c r="K8" i="3"/>
  <c r="J8" i="3"/>
  <c r="I8" i="3"/>
  <c r="H8" i="3"/>
  <c r="G8" i="3"/>
  <c r="F8" i="3"/>
  <c r="E8" i="3"/>
  <c r="D8" i="3"/>
  <c r="B8" i="3"/>
  <c r="N7" i="3"/>
  <c r="M7" i="3"/>
  <c r="L7" i="3"/>
  <c r="K7" i="3"/>
  <c r="J7" i="3"/>
  <c r="I7" i="3"/>
  <c r="H7" i="3"/>
  <c r="G7" i="3"/>
  <c r="F7" i="3"/>
  <c r="E7" i="3"/>
  <c r="D7" i="3"/>
  <c r="B7" i="3"/>
  <c r="N6" i="3"/>
  <c r="M6" i="3"/>
  <c r="L6" i="3"/>
  <c r="K6" i="3"/>
  <c r="J6" i="3"/>
  <c r="I6" i="3"/>
  <c r="H6" i="3"/>
  <c r="G6" i="3"/>
  <c r="F6" i="3"/>
  <c r="E6" i="3"/>
  <c r="D6" i="3"/>
  <c r="B6" i="3"/>
  <c r="N5" i="3"/>
  <c r="M5" i="3"/>
  <c r="L5" i="3"/>
  <c r="K5" i="3"/>
  <c r="J5" i="3"/>
  <c r="I5" i="3"/>
  <c r="H5" i="3"/>
  <c r="G5" i="3"/>
  <c r="F5" i="3"/>
  <c r="E5" i="3"/>
  <c r="D5" i="3"/>
  <c r="B5" i="3"/>
  <c r="N4" i="3"/>
  <c r="M4" i="3"/>
  <c r="L4" i="3"/>
  <c r="K4" i="3"/>
  <c r="J4" i="3"/>
  <c r="I4" i="3"/>
  <c r="H4" i="3"/>
  <c r="G4" i="3"/>
  <c r="F4" i="3"/>
  <c r="E4" i="3"/>
  <c r="D4" i="3"/>
  <c r="C4" i="3"/>
  <c r="B4" i="3"/>
  <c r="M4" i="5"/>
  <c r="K4" i="5"/>
  <c r="I4" i="5"/>
  <c r="B4" i="2"/>
  <c r="C4" i="2"/>
  <c r="D4" i="2"/>
  <c r="E4" i="2"/>
  <c r="F4" i="2"/>
  <c r="G4" i="2"/>
  <c r="H4" i="2"/>
  <c r="I4" i="2"/>
  <c r="J4" i="2"/>
  <c r="K14" i="2"/>
  <c r="K15" i="2"/>
  <c r="C5" i="2"/>
  <c r="K5" i="2" s="1"/>
  <c r="C6" i="2"/>
  <c r="C7" i="2"/>
  <c r="K7" i="2" s="1"/>
  <c r="C8" i="2"/>
  <c r="K8" i="2" s="1"/>
  <c r="C9" i="2"/>
  <c r="K9" i="2" s="1"/>
  <c r="C10" i="2"/>
  <c r="K10" i="2" s="1"/>
  <c r="C11" i="2"/>
  <c r="C12" i="2"/>
  <c r="K12" i="2" s="1"/>
  <c r="C13" i="2"/>
  <c r="K13" i="2" s="1"/>
  <c r="C14" i="2"/>
  <c r="C15" i="2"/>
  <c r="J5" i="2"/>
  <c r="J6" i="2"/>
  <c r="J7" i="2"/>
  <c r="J8" i="2"/>
  <c r="J9" i="2"/>
  <c r="J10" i="2"/>
  <c r="J11" i="2"/>
  <c r="J12" i="2"/>
  <c r="J13" i="2"/>
  <c r="J14" i="2"/>
  <c r="J15" i="2"/>
  <c r="I5" i="2"/>
  <c r="I6" i="2"/>
  <c r="I7" i="2"/>
  <c r="I8" i="2"/>
  <c r="I9" i="2"/>
  <c r="I10" i="2"/>
  <c r="I11" i="2"/>
  <c r="I12" i="2"/>
  <c r="I13" i="2"/>
  <c r="I14" i="2"/>
  <c r="I15" i="2"/>
  <c r="H5" i="2"/>
  <c r="H6" i="2"/>
  <c r="H7" i="2"/>
  <c r="H8" i="2"/>
  <c r="H9" i="2"/>
  <c r="H10" i="2"/>
  <c r="H11" i="2"/>
  <c r="H12" i="2"/>
  <c r="H13" i="2"/>
  <c r="H14" i="2"/>
  <c r="H15" i="2"/>
  <c r="G5" i="2"/>
  <c r="G6" i="2"/>
  <c r="G7" i="2"/>
  <c r="G8" i="2"/>
  <c r="G9" i="2"/>
  <c r="G10" i="2"/>
  <c r="G11" i="2"/>
  <c r="G12" i="2"/>
  <c r="G13" i="2"/>
  <c r="G14" i="2"/>
  <c r="G15" i="2"/>
  <c r="F5" i="2"/>
  <c r="F6" i="2"/>
  <c r="F7" i="2"/>
  <c r="F8" i="2"/>
  <c r="F9" i="2"/>
  <c r="F10" i="2"/>
  <c r="F11" i="2"/>
  <c r="F12" i="2"/>
  <c r="F13" i="2"/>
  <c r="F14" i="2"/>
  <c r="F15" i="2"/>
  <c r="E5" i="2"/>
  <c r="E6" i="2"/>
  <c r="E7" i="2"/>
  <c r="E8" i="2"/>
  <c r="E9" i="2"/>
  <c r="E10" i="2"/>
  <c r="E11" i="2"/>
  <c r="E12" i="2"/>
  <c r="E13" i="2"/>
  <c r="E14" i="2"/>
  <c r="E15" i="2"/>
  <c r="D5" i="2"/>
  <c r="D6" i="2"/>
  <c r="D7" i="2"/>
  <c r="D8" i="2"/>
  <c r="D9" i="2"/>
  <c r="D10" i="2"/>
  <c r="D11" i="2"/>
  <c r="D12" i="2"/>
  <c r="D13" i="2"/>
  <c r="D14" i="2"/>
  <c r="D15" i="2"/>
  <c r="B5" i="2"/>
  <c r="B6" i="2"/>
  <c r="B7" i="2"/>
  <c r="B8" i="2"/>
  <c r="B9" i="2"/>
  <c r="B10" i="2"/>
  <c r="B11" i="2"/>
  <c r="B12" i="2"/>
  <c r="B13" i="2"/>
  <c r="B14" i="2"/>
  <c r="B15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2" i="1"/>
  <c r="J2" i="1" s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  <c r="E16" i="2" l="1"/>
  <c r="F16" i="2"/>
  <c r="K11" i="2"/>
  <c r="D16" i="2"/>
  <c r="G16" i="2"/>
  <c r="K6" i="2"/>
  <c r="C16" i="2"/>
  <c r="K2" i="1"/>
</calcChain>
</file>

<file path=xl/sharedStrings.xml><?xml version="1.0" encoding="utf-8"?>
<sst xmlns="http://schemas.openxmlformats.org/spreadsheetml/2006/main" count="787" uniqueCount="61">
  <si>
    <t>Date</t>
  </si>
  <si>
    <t>Month No</t>
  </si>
  <si>
    <t>Month Name</t>
  </si>
  <si>
    <t>Day Name</t>
  </si>
  <si>
    <t>Room Type</t>
  </si>
  <si>
    <t>Total Rooms</t>
  </si>
  <si>
    <t>Rooms Occupied</t>
  </si>
  <si>
    <t>Occupancy %</t>
  </si>
  <si>
    <t>ADR($)</t>
  </si>
  <si>
    <t>RevPAR ($)</t>
  </si>
  <si>
    <t>Total Revenue</t>
  </si>
  <si>
    <t>Booking Channel</t>
  </si>
  <si>
    <t>Standard</t>
  </si>
  <si>
    <t>Deluxe</t>
  </si>
  <si>
    <t>Suite</t>
  </si>
  <si>
    <t>Executive</t>
  </si>
  <si>
    <t>Penthouse</t>
  </si>
  <si>
    <t>Direct</t>
  </si>
  <si>
    <t>OTA</t>
  </si>
  <si>
    <t>Corporate</t>
  </si>
  <si>
    <t>Travel Agent</t>
  </si>
  <si>
    <t>Walk-in</t>
  </si>
  <si>
    <t>Hotel Revenue - Monthly Summary 2024</t>
  </si>
  <si>
    <t>Performance Summary January 2024 - December 2024</t>
  </si>
  <si>
    <t>Rooms Occuoied</t>
  </si>
  <si>
    <t>Avg Occupancy(%)</t>
  </si>
  <si>
    <t>Avg ADR($)</t>
  </si>
  <si>
    <t>Avg RevPAR($)</t>
  </si>
  <si>
    <t>Total Room Nights</t>
  </si>
  <si>
    <t>Best Day Revenue</t>
  </si>
  <si>
    <t>Worst Day Revenue</t>
  </si>
  <si>
    <t>MOM Growth %</t>
  </si>
  <si>
    <t>N/A</t>
  </si>
  <si>
    <t>TOTAL</t>
  </si>
  <si>
    <t>Avg Occupancy</t>
  </si>
  <si>
    <t>Avg RevPAR</t>
  </si>
  <si>
    <t xml:space="preserve">                                     Hotel Revenue Dashboard 2024</t>
  </si>
  <si>
    <t xml:space="preserve"> </t>
  </si>
  <si>
    <t>May</t>
  </si>
  <si>
    <t>Occupancy Heatmap - Day of week x Month 2024</t>
  </si>
  <si>
    <t>Day/Month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</si>
  <si>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</si>
  <si>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</si>
  <si>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</si>
  <si>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</si>
  <si>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</si>
  <si>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</si>
  <si>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</si>
  <si>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</si>
  <si>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</si>
  <si>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</si>
  <si>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</si>
  <si>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Average</t>
  </si>
  <si>
    <t>Monday</t>
  </si>
  <si>
    <t>Tuesday</t>
  </si>
  <si>
    <t>Wednesday</t>
  </si>
  <si>
    <t>Thursday</t>
  </si>
  <si>
    <t>Friday</t>
  </si>
  <si>
    <t>Saturday</t>
  </si>
  <si>
    <t>Sunday</t>
  </si>
  <si>
    <t>Monthly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</si>
</sst>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$-C09]#,##0.00"/>
    <numFmt numFmtId="165" formatCode="[$$-45C]#,##0.00"/>
    <numFmt numFmtId="166" formatCode="0.0%"/>
    <numFmt numFmtId="167" formatCode="[$$-45C]#,##0"/>
    <numFmt numFmtId="168" formatCode="[$$-45C]#,##0.00;\-[$$-45C]#,##0.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0" fontId="3" fillId="4" borderId="1" xfId="0" applyFont="1" applyFill="1" applyBorder="1" applyAlignment="1">
      <alignment horizontal="center"/>
    </xf>
    <xf numFmtId="165" fontId="1" fillId="2" borderId="0" xfId="0" applyNumberFormat="1" applyFont="1" applyFill="1"/>
    <xf numFmtId="0" fontId="1" fillId="2" borderId="0" xfId="0" applyFont="1" applyFill="1"/>
    <xf numFmtId="166" fontId="1" fillId="2" borderId="0" xfId="0" applyNumberFormat="1" applyFont="1" applyFill="1"/>
    <xf numFmtId="43" fontId="3" fillId="4" borderId="1" xfId="2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3" fontId="0" fillId="0" borderId="0" xfId="2" applyFont="1" applyAlignment="1">
      <alignment horizontal="right"/>
    </xf>
    <xf numFmtId="166" fontId="0" fillId="0" borderId="0" xfId="1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1" applyFont="1" applyAlignment="1">
      <alignment horizontal="right"/>
    </xf>
    <xf numFmtId="0" fontId="3" fillId="0" borderId="0" xfId="0" applyFont="1"/>
    <xf numFmtId="9" fontId="0" fillId="0" borderId="0" xfId="1" applyFont="1" applyFill="1"/>
    <xf numFmtId="0" fontId="7" fillId="0" borderId="0" xfId="0" applyFont="1" applyAlignment="1">
      <alignment horizontal="center"/>
    </xf>
    <xf numFmtId="9" fontId="3" fillId="0" borderId="0" xfId="1" applyFont="1" applyFill="1" applyAlignment="1">
      <alignment horizontal="center"/>
    </xf>
    <xf numFmtId="0" fontId="7" fillId="0" borderId="0" xfId="0" applyFont="1"/>
    <xf numFmtId="167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2" applyFont="1"/>
    <xf numFmtId="0" fontId="8" fillId="5" borderId="2" xfId="0" applyFont="1" applyFill="1" applyBorder="1" applyAlignment="1">
      <alignment horizontal="center"/>
    </xf>
    <xf numFmtId="0" fontId="9" fillId="0" borderId="0" xfId="0" applyFont="1"/>
    <xf numFmtId="9" fontId="8" fillId="7" borderId="2" xfId="1" applyFont="1" applyFill="1" applyBorder="1" applyAlignment="1">
      <alignment horizontal="center"/>
    </xf>
    <xf numFmtId="167" fontId="8" fillId="6" borderId="2" xfId="0" applyNumberFormat="1" applyFont="1" applyFill="1" applyBorder="1"/>
    <xf numFmtId="0" fontId="6" fillId="0" borderId="0" xfId="0" applyFont="1"/>
    <xf numFmtId="9" fontId="3" fillId="8" borderId="0" xfId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9" fontId="3" fillId="8" borderId="0" xfId="1" applyFont="1" applyFill="1" applyAlignment="1"/>
    <xf numFmtId="9" fontId="0" fillId="0" borderId="0" xfId="1" applyFont="1" applyAlignment="1">
      <alignment horizontal="center"/>
    </xf>
    <xf numFmtId="0" fontId="3" fillId="7" borderId="0" xfId="0" applyFont="1" applyFill="1"/>
    <xf numFmtId="9" fontId="3" fillId="7" borderId="0" xfId="1" applyFont="1" applyFill="1" applyAlignment="1"/>
    <xf numFmtId="166" fontId="0" fillId="0" borderId="0" xfId="0" applyNumberFormat="1"/>
    <xf numFmtId="166" fontId="0" fillId="0" borderId="1" xfId="1" applyNumberFormat="1" applyFont="1" applyBorder="1"/>
    <xf numFmtId="166" fontId="0" fillId="0" borderId="1" xfId="1" applyNumberFormat="1" applyFont="1" applyFill="1" applyBorder="1"/>
    <xf numFmtId="166" fontId="0" fillId="0" borderId="0" xfId="1" applyNumberFormat="1" applyFont="1"/>
    <xf numFmtId="166" fontId="3" fillId="0" borderId="1" xfId="1" applyNumberFormat="1" applyFont="1" applyBorder="1"/>
    <xf numFmtId="167" fontId="8" fillId="6" borderId="2" xfId="0" applyNumberFormat="1" applyFont="1" applyFill="1" applyBorder="1" applyAlignment="1">
      <alignment horizontal="center"/>
    </xf>
    <xf numFmtId="168" fontId="8" fillId="5" borderId="2" xfId="2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6" fontId="2" fillId="0" borderId="1" xfId="1" applyNumberFormat="1" applyFont="1" applyBorder="1"/>
  </cellXfs>
  <cellStyles count="3">
    <cellStyle name="Comma" xfId="2" builtinId="3"/>
    <cellStyle name="Normal" xfId="0" builtinId="0"/>
    <cellStyle name="Percent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[$$-45C]#,##0.00"/>
    </dxf>
    <dxf>
      <numFmt numFmtId="165" formatCode="[$$-45C]#,##0.00"/>
    </dxf>
    <dxf>
      <numFmt numFmtId="164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15484721713157"/>
          <c:y val="0.22474286750741523"/>
          <c:w val="0.87389917907923997"/>
          <c:h val="0.6683813656956246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Summary'!$C$4:$C$15</c:f>
              <c:numCache>
                <c:formatCode>_(* #,##0.00_);_(* \(#,##0.00\);_(* "-"??_);_(@_)</c:formatCode>
                <c:ptCount val="12"/>
                <c:pt idx="0">
                  <c:v>53489</c:v>
                </c:pt>
                <c:pt idx="1">
                  <c:v>49128</c:v>
                </c:pt>
                <c:pt idx="2">
                  <c:v>50819</c:v>
                </c:pt>
                <c:pt idx="3">
                  <c:v>62389</c:v>
                </c:pt>
                <c:pt idx="4">
                  <c:v>47793</c:v>
                </c:pt>
                <c:pt idx="5">
                  <c:v>56070</c:v>
                </c:pt>
                <c:pt idx="6">
                  <c:v>49128</c:v>
                </c:pt>
                <c:pt idx="7">
                  <c:v>66572</c:v>
                </c:pt>
                <c:pt idx="8">
                  <c:v>38092</c:v>
                </c:pt>
                <c:pt idx="9">
                  <c:v>54557</c:v>
                </c:pt>
                <c:pt idx="10">
                  <c:v>43610</c:v>
                </c:pt>
                <c:pt idx="11">
                  <c:v>58473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1-4567-AD43-6C6EE7C94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96832"/>
        <c:axId val="447898272"/>
      </c:lineChart>
      <c:catAx>
        <c:axId val="44789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98272"/>
        <c:crosses val="autoZero"/>
        <c:auto val="1"/>
        <c:lblAlgn val="ctr"/>
        <c:lblOffset val="100"/>
        <c:tickLblSkip val="1"/>
        <c:noMultiLvlLbl val="0"/>
      </c:catAx>
      <c:valAx>
        <c:axId val="4478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Occupancy</a:t>
            </a:r>
            <a:r>
              <a:rPr lang="en-IN" baseline="0"/>
              <a:t> % by Month</a:t>
            </a:r>
            <a:endParaRPr lang="en-IN"/>
          </a:p>
        </c:rich>
      </c:tx>
      <c:layout>
        <c:manualLayout>
          <c:xMode val="edge"/>
          <c:yMode val="edge"/>
          <c:x val="0.28400876085028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222335689267514E-2"/>
          <c:y val="0.1239476337084162"/>
          <c:w val="0.91253889892484985"/>
          <c:h val="0.50620657711903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Summary'!$E$4:$E$15</c:f>
              <c:numCache>
                <c:formatCode>0.0%</c:formatCode>
                <c:ptCount val="12"/>
                <c:pt idx="0">
                  <c:v>0.77876344086021509</c:v>
                </c:pt>
                <c:pt idx="1">
                  <c:v>0.79166666666666674</c:v>
                </c:pt>
                <c:pt idx="2">
                  <c:v>0.75833333333333341</c:v>
                </c:pt>
                <c:pt idx="3">
                  <c:v>0.78972222222222221</c:v>
                </c:pt>
                <c:pt idx="4">
                  <c:v>0.78736559139784934</c:v>
                </c:pt>
                <c:pt idx="5">
                  <c:v>0.7527777777777781</c:v>
                </c:pt>
                <c:pt idx="6">
                  <c:v>0.80430107526881744</c:v>
                </c:pt>
                <c:pt idx="7">
                  <c:v>0.79811827956989245</c:v>
                </c:pt>
                <c:pt idx="8">
                  <c:v>0.75916666666666677</c:v>
                </c:pt>
                <c:pt idx="9">
                  <c:v>0.80698924731182831</c:v>
                </c:pt>
                <c:pt idx="10">
                  <c:v>0.79916666666666658</c:v>
                </c:pt>
                <c:pt idx="11">
                  <c:v>0.79354838709677433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7-4A41-BBC4-4AB9B1EC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911712"/>
        <c:axId val="447928512"/>
      </c:barChart>
      <c:catAx>
        <c:axId val="44791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28512"/>
        <c:crosses val="autoZero"/>
        <c:auto val="1"/>
        <c:lblAlgn val="ctr"/>
        <c:lblOffset val="100"/>
        <c:noMultiLvlLbl val="0"/>
      </c:catAx>
      <c:valAx>
        <c:axId val="4479285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1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RevPAR</a:t>
            </a:r>
            <a:r>
              <a:rPr lang="en-IN" baseline="0"/>
              <a:t> Trend</a:t>
            </a:r>
            <a:endParaRPr lang="en-IN"/>
          </a:p>
        </c:rich>
      </c:tx>
      <c:layout>
        <c:manualLayout>
          <c:xMode val="edge"/>
          <c:yMode val="edge"/>
          <c:x val="0.42007720346432104"/>
          <c:y val="2.2128208550202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Summary'!$B$4:$B$15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Summary'!$G$4:$G$15</c:f>
              <c:numCache>
                <c:formatCode>[$$-45C]#,##0.00</c:formatCode>
                <c:ptCount val="12"/>
                <c:pt idx="0">
                  <c:v>69.309946236559142</c:v>
                </c:pt>
                <c:pt idx="1">
                  <c:v>70.458333333333343</c:v>
                </c:pt>
                <c:pt idx="2">
                  <c:v>67.491666666666674</c:v>
                </c:pt>
                <c:pt idx="3">
                  <c:v>70.285277777777793</c:v>
                </c:pt>
                <c:pt idx="4">
                  <c:v>70.075537634408605</c:v>
                </c:pt>
                <c:pt idx="5">
                  <c:v>66.997222222222248</c:v>
                </c:pt>
                <c:pt idx="6">
                  <c:v>71.582795698924755</c:v>
                </c:pt>
                <c:pt idx="7">
                  <c:v>71.032526881720429</c:v>
                </c:pt>
                <c:pt idx="8">
                  <c:v>67.565833333333345</c:v>
                </c:pt>
                <c:pt idx="9">
                  <c:v>71.822043010752694</c:v>
                </c:pt>
                <c:pt idx="10">
                  <c:v>71.125833333333333</c:v>
                </c:pt>
                <c:pt idx="11">
                  <c:v>70.625806451612917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F-4E13-B3C8-C28711668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672604272"/>
        <c:axId val="672587952"/>
      </c:barChart>
      <c:catAx>
        <c:axId val="672604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87952"/>
        <c:crosses val="autoZero"/>
        <c:auto val="1"/>
        <c:lblAlgn val="ctr"/>
        <c:lblOffset val="100"/>
        <c:noMultiLvlLbl val="0"/>
      </c:catAx>
      <c:valAx>
        <c:axId val="672587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0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4</xdr:row>
      <xdr:rowOff>129540</xdr:rowOff>
    </xdr:from>
    <xdr:to>
      <xdr:col>17</xdr:col>
      <xdr:colOff>350520</xdr:colOff>
      <xdr:row>14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551F7-FE0E-4591-BFF5-C212AE643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175260</xdr:colOff>
      <xdr:row>15</xdr:row>
      <xdr:rowOff>68580</xdr:rowOff>
    </xdr:from>
    <xdr:to>
      <xdr:col>10</xdr:col>
      <xdr:colOff>167640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0A6884-DE39-4095-9FE0-7B2BF9127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601980</xdr:colOff>
      <xdr:row>15</xdr:row>
      <xdr:rowOff>76200</xdr:rowOff>
    </xdr:from>
    <xdr:to>
      <xdr:col>19</xdr:col>
      <xdr:colOff>266700</xdr:colOff>
      <xdr:row>27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C59BF5-ECD7-4636-96D1-B17FAADFD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C71E0-1745-411E-BF27-3155F9E53DD8}" name="Table1" displayName="Table1" ref="A1:L367" totalsRowShown="0" headerRowDxfId="7">
  <autoFilter ref="A1:L367" xr:uid="{0C1C71E0-1745-411E-BF27-3155F9E53DD8}"/>
  <tableColumns count="12">
    <tableColumn id="1" xr3:uid="{696216B2-36B4-4B7C-B9BB-B88F9D4984BC}" name="Date" dataDxfId="6"/>
    <tableColumn id="2" xr3:uid="{C13B3250-5F4B-469D-9790-ED32C4EAAECB}" name="Month No">
      <calculatedColumnFormula>MONTH(A2)</calculatedColumnFormula>
    </tableColumn>
    <tableColumn id="3" xr3:uid="{1EAF0232-B44B-4DE5-A5B9-FD4EE6FCDDFE}" name="Month Name">
      <calculatedColumnFormula>TEXT(A2,"MMMM")</calculatedColumnFormula>
    </tableColumn>
    <tableColumn id="4" xr3:uid="{40EFD9D3-608E-4B80-B740-2C06B54EF82D}" name="Day Name">
      <calculatedColumnFormula>TEXT(A2,"dddd")</calculatedColumnFormula>
    </tableColumn>
    <tableColumn id="5" xr3:uid="{EAB3EEBE-21BC-4459-B054-C22C9164CC82}" name="Room Type"/>
    <tableColumn id="6" xr3:uid="{EE1A6BC0-04EB-44DF-8B3D-AECC2879428D}" name="Total Rooms"/>
    <tableColumn id="7" xr3:uid="{87B9BC6C-2A87-439D-9716-E25324ED142A}" name="Rooms Occupied"/>
    <tableColumn id="8" xr3:uid="{560D01D6-9CC1-4281-9C9C-FBFF2888A146}" name="Occupancy %" dataDxfId="5" dataCellStyle="Percent">
      <calculatedColumnFormula>G2/F2</calculatedColumnFormula>
    </tableColumn>
    <tableColumn id="9" xr3:uid="{D7F4D228-A3AB-4A0D-AAF7-D448817CC20D}" name="ADR($)" dataDxfId="4"/>
    <tableColumn id="10" xr3:uid="{4CF0B0D6-BA21-4BCE-A7CD-7BAE466797DE}" name="RevPAR ($)" dataDxfId="3">
      <calculatedColumnFormula>I2*H2</calculatedColumnFormula>
    </tableColumn>
    <tableColumn id="11" xr3:uid="{3F3A21DA-2F3C-429B-8D79-96C77888A1F7}" name="Total Revenue" dataDxfId="2">
      <calculatedColumnFormula>I2*G2</calculatedColumnFormula>
    </tableColumn>
    <tableColumn id="12" xr3:uid="{6C24B016-B3F7-4289-8108-7BDD7F4E6EF3}" name="Booking 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0367-D631-4F83-A17A-C0DDB0583A88}">
  <dimension ref="A1:L367"/>
  <sheetViews>
    <sheetView workbookViewId="0"/>
  </sheetViews>
  <sheetFormatPr defaultRowHeight="14.4" x14ac:dyDescent="0.3"/>
  <cols>
    <col min="1" max="1" width="13.88671875" customWidth="1"/>
    <col min="2" max="2" width="13.33203125" customWidth="1"/>
    <col min="3" max="3" width="14.109375" customWidth="1"/>
    <col min="4" max="4" width="14.88671875" customWidth="1"/>
    <col min="5" max="5" width="15" bestFit="1" customWidth="1"/>
    <col min="6" max="6" width="14" customWidth="1"/>
    <col min="7" max="7" width="20.5546875" customWidth="1"/>
    <col min="8" max="8" width="17.77734375" customWidth="1"/>
    <col min="9" max="9" width="14.33203125" customWidth="1"/>
    <col min="10" max="10" width="14" customWidth="1"/>
    <col min="11" max="11" width="17.44140625" customWidth="1"/>
    <col min="12" max="12" width="21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45292</v>
      </c>
      <c r="B2">
        <f>MONTH(A2)</f>
        <v>1</v>
      </c>
      <c r="C2" t="str">
        <f>TEXT(A2,"MMMM")</f>
        <v>January</v>
      </c>
      <c r="D2" t="str">
        <f>TEXT(A2,"dddd")</f>
        <v>Monday</v>
      </c>
      <c r="E2" t="s">
        <v>12</v>
      </c>
      <c r="F2">
        <v>40</v>
      </c>
      <c r="G2">
        <v>33</v>
      </c>
      <c r="H2" s="3">
        <f>G2/F2</f>
        <v>0.82499999999999996</v>
      </c>
      <c r="I2" s="4">
        <v>89</v>
      </c>
      <c r="J2" s="5">
        <f>I2*H2</f>
        <v>73.424999999999997</v>
      </c>
      <c r="K2" s="5">
        <f>I2*G2</f>
        <v>2937</v>
      </c>
      <c r="L2" t="s">
        <v>17</v>
      </c>
    </row>
    <row r="3" spans="1:12" x14ac:dyDescent="0.3">
      <c r="A3" s="2">
        <v>45293</v>
      </c>
      <c r="B3">
        <f t="shared" ref="B3:B66" si="0">MONTH(A3)</f>
        <v>1</v>
      </c>
      <c r="C3" t="str">
        <f t="shared" ref="C3:C66" si="1">TEXT(A3,"MMMM")</f>
        <v>January</v>
      </c>
      <c r="D3" t="str">
        <f t="shared" ref="D3:D66" si="2">TEXT(A3,"dddd")</f>
        <v>Tuesday</v>
      </c>
      <c r="E3" t="s">
        <v>13</v>
      </c>
      <c r="F3">
        <v>30</v>
      </c>
      <c r="G3">
        <v>21</v>
      </c>
      <c r="H3" s="3">
        <f t="shared" ref="H3:H66" si="3">G3/F3</f>
        <v>0.7</v>
      </c>
      <c r="I3" s="4">
        <v>89</v>
      </c>
      <c r="J3" s="5">
        <f t="shared" ref="J3:J66" si="4">I3*H3</f>
        <v>62.3</v>
      </c>
      <c r="K3" s="5">
        <f t="shared" ref="K3:K66" si="5">I3*G3</f>
        <v>1869</v>
      </c>
      <c r="L3" t="s">
        <v>17</v>
      </c>
    </row>
    <row r="4" spans="1:12" x14ac:dyDescent="0.3">
      <c r="A4" s="2">
        <v>45294</v>
      </c>
      <c r="B4">
        <f t="shared" si="0"/>
        <v>1</v>
      </c>
      <c r="C4" t="str">
        <f t="shared" si="1"/>
        <v>January</v>
      </c>
      <c r="D4" t="str">
        <f t="shared" si="2"/>
        <v>Wednesday</v>
      </c>
      <c r="E4" t="s">
        <v>14</v>
      </c>
      <c r="F4">
        <v>15</v>
      </c>
      <c r="G4">
        <v>9</v>
      </c>
      <c r="H4" s="3">
        <f t="shared" si="3"/>
        <v>0.6</v>
      </c>
      <c r="I4" s="4">
        <v>89</v>
      </c>
      <c r="J4" s="5">
        <f t="shared" si="4"/>
        <v>53.4</v>
      </c>
      <c r="K4" s="5">
        <f t="shared" si="5"/>
        <v>801</v>
      </c>
      <c r="L4" t="s">
        <v>17</v>
      </c>
    </row>
    <row r="5" spans="1:12" x14ac:dyDescent="0.3">
      <c r="A5" s="2">
        <v>45295</v>
      </c>
      <c r="B5">
        <f t="shared" si="0"/>
        <v>1</v>
      </c>
      <c r="C5" t="str">
        <f t="shared" si="1"/>
        <v>January</v>
      </c>
      <c r="D5" t="str">
        <f t="shared" si="2"/>
        <v>Thursday</v>
      </c>
      <c r="E5" t="s">
        <v>15</v>
      </c>
      <c r="F5">
        <v>10</v>
      </c>
      <c r="G5">
        <v>8</v>
      </c>
      <c r="H5" s="3">
        <f t="shared" si="3"/>
        <v>0.8</v>
      </c>
      <c r="I5" s="4">
        <v>89</v>
      </c>
      <c r="J5" s="5">
        <f t="shared" si="4"/>
        <v>71.2</v>
      </c>
      <c r="K5" s="5">
        <f t="shared" si="5"/>
        <v>712</v>
      </c>
      <c r="L5" t="s">
        <v>17</v>
      </c>
    </row>
    <row r="6" spans="1:12" x14ac:dyDescent="0.3">
      <c r="A6" s="2">
        <v>45296</v>
      </c>
      <c r="B6">
        <f t="shared" si="0"/>
        <v>1</v>
      </c>
      <c r="C6" t="str">
        <f t="shared" si="1"/>
        <v>January</v>
      </c>
      <c r="D6" t="str">
        <f t="shared" si="2"/>
        <v>Friday</v>
      </c>
      <c r="E6" t="s">
        <v>16</v>
      </c>
      <c r="F6">
        <v>5</v>
      </c>
      <c r="G6">
        <v>5</v>
      </c>
      <c r="H6" s="3">
        <f t="shared" si="3"/>
        <v>1</v>
      </c>
      <c r="I6" s="4">
        <v>89</v>
      </c>
      <c r="J6" s="5">
        <f t="shared" si="4"/>
        <v>89</v>
      </c>
      <c r="K6" s="5">
        <f t="shared" si="5"/>
        <v>445</v>
      </c>
      <c r="L6" t="s">
        <v>17</v>
      </c>
    </row>
    <row r="7" spans="1:12" x14ac:dyDescent="0.3">
      <c r="A7" s="2">
        <v>45297</v>
      </c>
      <c r="B7">
        <f t="shared" si="0"/>
        <v>1</v>
      </c>
      <c r="C7" t="str">
        <f t="shared" si="1"/>
        <v>January</v>
      </c>
      <c r="D7" t="str">
        <f t="shared" si="2"/>
        <v>Saturday</v>
      </c>
      <c r="E7" t="s">
        <v>12</v>
      </c>
      <c r="F7">
        <v>40</v>
      </c>
      <c r="G7">
        <v>36</v>
      </c>
      <c r="H7" s="3">
        <f t="shared" si="3"/>
        <v>0.9</v>
      </c>
      <c r="I7" s="4">
        <v>89</v>
      </c>
      <c r="J7" s="5">
        <f t="shared" si="4"/>
        <v>80.100000000000009</v>
      </c>
      <c r="K7" s="5">
        <f t="shared" si="5"/>
        <v>3204</v>
      </c>
      <c r="L7" t="s">
        <v>17</v>
      </c>
    </row>
    <row r="8" spans="1:12" x14ac:dyDescent="0.3">
      <c r="A8" s="2">
        <v>45298</v>
      </c>
      <c r="B8">
        <f t="shared" si="0"/>
        <v>1</v>
      </c>
      <c r="C8" t="str">
        <f t="shared" si="1"/>
        <v>January</v>
      </c>
      <c r="D8" t="str">
        <f t="shared" si="2"/>
        <v>Sunday</v>
      </c>
      <c r="E8" t="s">
        <v>12</v>
      </c>
      <c r="F8">
        <v>40</v>
      </c>
      <c r="G8">
        <v>25</v>
      </c>
      <c r="H8" s="3">
        <f t="shared" si="3"/>
        <v>0.625</v>
      </c>
      <c r="I8" s="4">
        <v>89</v>
      </c>
      <c r="J8" s="5">
        <f t="shared" si="4"/>
        <v>55.625</v>
      </c>
      <c r="K8" s="5">
        <f t="shared" si="5"/>
        <v>2225</v>
      </c>
      <c r="L8" t="s">
        <v>17</v>
      </c>
    </row>
    <row r="9" spans="1:12" x14ac:dyDescent="0.3">
      <c r="A9" s="2">
        <v>45299</v>
      </c>
      <c r="B9">
        <f t="shared" si="0"/>
        <v>1</v>
      </c>
      <c r="C9" t="str">
        <f t="shared" si="1"/>
        <v>January</v>
      </c>
      <c r="D9" t="str">
        <f t="shared" si="2"/>
        <v>Monday</v>
      </c>
      <c r="E9" t="s">
        <v>12</v>
      </c>
      <c r="F9">
        <v>40</v>
      </c>
      <c r="G9">
        <v>32</v>
      </c>
      <c r="H9" s="3">
        <f t="shared" si="3"/>
        <v>0.8</v>
      </c>
      <c r="I9" s="4">
        <v>89</v>
      </c>
      <c r="J9" s="5">
        <f t="shared" si="4"/>
        <v>71.2</v>
      </c>
      <c r="K9" s="5">
        <f t="shared" si="5"/>
        <v>2848</v>
      </c>
      <c r="L9" t="s">
        <v>17</v>
      </c>
    </row>
    <row r="10" spans="1:12" x14ac:dyDescent="0.3">
      <c r="A10" s="2">
        <v>45300</v>
      </c>
      <c r="B10">
        <f t="shared" si="0"/>
        <v>1</v>
      </c>
      <c r="C10" t="str">
        <f t="shared" si="1"/>
        <v>January</v>
      </c>
      <c r="D10" t="str">
        <f t="shared" si="2"/>
        <v>Tuesday</v>
      </c>
      <c r="E10" t="s">
        <v>13</v>
      </c>
      <c r="F10">
        <v>30</v>
      </c>
      <c r="G10">
        <v>24</v>
      </c>
      <c r="H10" s="3">
        <f t="shared" si="3"/>
        <v>0.8</v>
      </c>
      <c r="I10" s="4">
        <v>89</v>
      </c>
      <c r="J10" s="5">
        <f t="shared" si="4"/>
        <v>71.2</v>
      </c>
      <c r="K10" s="5">
        <f t="shared" si="5"/>
        <v>2136</v>
      </c>
      <c r="L10" t="s">
        <v>17</v>
      </c>
    </row>
    <row r="11" spans="1:12" x14ac:dyDescent="0.3">
      <c r="A11" s="2">
        <v>45301</v>
      </c>
      <c r="B11">
        <f t="shared" si="0"/>
        <v>1</v>
      </c>
      <c r="C11" t="str">
        <f t="shared" si="1"/>
        <v>January</v>
      </c>
      <c r="D11" t="str">
        <f t="shared" si="2"/>
        <v>Wednesday</v>
      </c>
      <c r="E11" t="s">
        <v>12</v>
      </c>
      <c r="F11">
        <v>40</v>
      </c>
      <c r="G11">
        <v>36</v>
      </c>
      <c r="H11" s="3">
        <f t="shared" si="3"/>
        <v>0.9</v>
      </c>
      <c r="I11" s="4">
        <v>89</v>
      </c>
      <c r="J11" s="5">
        <f t="shared" si="4"/>
        <v>80.100000000000009</v>
      </c>
      <c r="K11" s="5">
        <f t="shared" si="5"/>
        <v>3204</v>
      </c>
      <c r="L11" t="s">
        <v>17</v>
      </c>
    </row>
    <row r="12" spans="1:12" x14ac:dyDescent="0.3">
      <c r="A12" s="2">
        <v>45302</v>
      </c>
      <c r="B12">
        <f t="shared" si="0"/>
        <v>1</v>
      </c>
      <c r="C12" t="str">
        <f t="shared" si="1"/>
        <v>January</v>
      </c>
      <c r="D12" t="str">
        <f t="shared" si="2"/>
        <v>Thursday</v>
      </c>
      <c r="E12" t="s">
        <v>12</v>
      </c>
      <c r="F12">
        <v>40</v>
      </c>
      <c r="G12">
        <v>28</v>
      </c>
      <c r="H12" s="3">
        <f t="shared" si="3"/>
        <v>0.7</v>
      </c>
      <c r="I12" s="4">
        <v>89</v>
      </c>
      <c r="J12" s="5">
        <f t="shared" si="4"/>
        <v>62.3</v>
      </c>
      <c r="K12" s="5">
        <f t="shared" si="5"/>
        <v>2492</v>
      </c>
      <c r="L12" t="s">
        <v>17</v>
      </c>
    </row>
    <row r="13" spans="1:12" x14ac:dyDescent="0.3">
      <c r="A13" s="2">
        <v>45303</v>
      </c>
      <c r="B13">
        <f t="shared" si="0"/>
        <v>1</v>
      </c>
      <c r="C13" t="str">
        <f t="shared" si="1"/>
        <v>January</v>
      </c>
      <c r="D13" t="str">
        <f t="shared" si="2"/>
        <v>Friday</v>
      </c>
      <c r="E13" t="s">
        <v>15</v>
      </c>
      <c r="F13">
        <v>10</v>
      </c>
      <c r="G13">
        <v>7</v>
      </c>
      <c r="H13" s="3">
        <f t="shared" si="3"/>
        <v>0.7</v>
      </c>
      <c r="I13" s="4">
        <v>89</v>
      </c>
      <c r="J13" s="5">
        <f t="shared" si="4"/>
        <v>62.3</v>
      </c>
      <c r="K13" s="5">
        <f t="shared" si="5"/>
        <v>623</v>
      </c>
      <c r="L13" t="s">
        <v>17</v>
      </c>
    </row>
    <row r="14" spans="1:12" x14ac:dyDescent="0.3">
      <c r="A14" s="2">
        <v>45304</v>
      </c>
      <c r="B14">
        <f t="shared" si="0"/>
        <v>1</v>
      </c>
      <c r="C14" t="str">
        <f t="shared" si="1"/>
        <v>January</v>
      </c>
      <c r="D14" t="str">
        <f t="shared" si="2"/>
        <v>Saturday</v>
      </c>
      <c r="E14" t="s">
        <v>13</v>
      </c>
      <c r="F14">
        <v>30</v>
      </c>
      <c r="G14">
        <v>28</v>
      </c>
      <c r="H14" s="3">
        <f t="shared" si="3"/>
        <v>0.93333333333333335</v>
      </c>
      <c r="I14" s="4">
        <v>89</v>
      </c>
      <c r="J14" s="5">
        <f t="shared" si="4"/>
        <v>83.066666666666663</v>
      </c>
      <c r="K14" s="5">
        <f t="shared" si="5"/>
        <v>2492</v>
      </c>
      <c r="L14" t="s">
        <v>17</v>
      </c>
    </row>
    <row r="15" spans="1:12" x14ac:dyDescent="0.3">
      <c r="A15" s="2">
        <v>45305</v>
      </c>
      <c r="B15">
        <f t="shared" si="0"/>
        <v>1</v>
      </c>
      <c r="C15" t="str">
        <f t="shared" si="1"/>
        <v>January</v>
      </c>
      <c r="D15" t="str">
        <f t="shared" si="2"/>
        <v>Sunday</v>
      </c>
      <c r="E15" t="s">
        <v>12</v>
      </c>
      <c r="F15">
        <v>40</v>
      </c>
      <c r="G15">
        <v>25</v>
      </c>
      <c r="H15" s="3">
        <f t="shared" si="3"/>
        <v>0.625</v>
      </c>
      <c r="I15" s="4">
        <v>89</v>
      </c>
      <c r="J15" s="5">
        <f t="shared" si="4"/>
        <v>55.625</v>
      </c>
      <c r="K15" s="5">
        <f t="shared" si="5"/>
        <v>2225</v>
      </c>
      <c r="L15" t="s">
        <v>17</v>
      </c>
    </row>
    <row r="16" spans="1:12" x14ac:dyDescent="0.3">
      <c r="A16" s="2">
        <v>45306</v>
      </c>
      <c r="B16">
        <f t="shared" si="0"/>
        <v>1</v>
      </c>
      <c r="C16" t="str">
        <f t="shared" si="1"/>
        <v>January</v>
      </c>
      <c r="D16" t="str">
        <f t="shared" si="2"/>
        <v>Monday</v>
      </c>
      <c r="E16" t="s">
        <v>12</v>
      </c>
      <c r="F16">
        <v>40</v>
      </c>
      <c r="G16">
        <v>36</v>
      </c>
      <c r="H16" s="3">
        <f t="shared" si="3"/>
        <v>0.9</v>
      </c>
      <c r="I16" s="4">
        <v>89</v>
      </c>
      <c r="J16" s="5">
        <f t="shared" si="4"/>
        <v>80.100000000000009</v>
      </c>
      <c r="K16" s="5">
        <f t="shared" si="5"/>
        <v>3204</v>
      </c>
      <c r="L16" t="s">
        <v>17</v>
      </c>
    </row>
    <row r="17" spans="1:12" x14ac:dyDescent="0.3">
      <c r="A17" s="2">
        <v>45307</v>
      </c>
      <c r="B17">
        <f t="shared" si="0"/>
        <v>1</v>
      </c>
      <c r="C17" t="str">
        <f t="shared" si="1"/>
        <v>January</v>
      </c>
      <c r="D17" t="str">
        <f t="shared" si="2"/>
        <v>Tuesday</v>
      </c>
      <c r="E17" t="s">
        <v>16</v>
      </c>
      <c r="F17">
        <v>5</v>
      </c>
      <c r="G17">
        <v>4</v>
      </c>
      <c r="H17" s="3">
        <f t="shared" si="3"/>
        <v>0.8</v>
      </c>
      <c r="I17" s="4">
        <v>89</v>
      </c>
      <c r="J17" s="5">
        <f t="shared" si="4"/>
        <v>71.2</v>
      </c>
      <c r="K17" s="5">
        <f t="shared" si="5"/>
        <v>356</v>
      </c>
      <c r="L17" t="s">
        <v>17</v>
      </c>
    </row>
    <row r="18" spans="1:12" x14ac:dyDescent="0.3">
      <c r="A18" s="2">
        <v>45308</v>
      </c>
      <c r="B18">
        <f t="shared" si="0"/>
        <v>1</v>
      </c>
      <c r="C18" t="str">
        <f t="shared" si="1"/>
        <v>January</v>
      </c>
      <c r="D18" t="str">
        <f t="shared" si="2"/>
        <v>Wednesday</v>
      </c>
      <c r="E18" t="s">
        <v>12</v>
      </c>
      <c r="F18">
        <v>40</v>
      </c>
      <c r="G18">
        <v>38</v>
      </c>
      <c r="H18" s="3">
        <f t="shared" si="3"/>
        <v>0.95</v>
      </c>
      <c r="I18" s="4">
        <v>89</v>
      </c>
      <c r="J18" s="5">
        <f t="shared" si="4"/>
        <v>84.55</v>
      </c>
      <c r="K18" s="5">
        <f t="shared" si="5"/>
        <v>3382</v>
      </c>
      <c r="L18" t="s">
        <v>17</v>
      </c>
    </row>
    <row r="19" spans="1:12" x14ac:dyDescent="0.3">
      <c r="A19" s="2">
        <v>45309</v>
      </c>
      <c r="B19">
        <f t="shared" si="0"/>
        <v>1</v>
      </c>
      <c r="C19" t="str">
        <f t="shared" si="1"/>
        <v>January</v>
      </c>
      <c r="D19" t="str">
        <f t="shared" si="2"/>
        <v>Thursday</v>
      </c>
      <c r="E19" t="s">
        <v>12</v>
      </c>
      <c r="F19">
        <v>40</v>
      </c>
      <c r="G19">
        <v>25</v>
      </c>
      <c r="H19" s="3">
        <f t="shared" si="3"/>
        <v>0.625</v>
      </c>
      <c r="I19" s="4">
        <v>89</v>
      </c>
      <c r="J19" s="5">
        <f t="shared" si="4"/>
        <v>55.625</v>
      </c>
      <c r="K19" s="5">
        <f t="shared" si="5"/>
        <v>2225</v>
      </c>
      <c r="L19" t="s">
        <v>17</v>
      </c>
    </row>
    <row r="20" spans="1:12" x14ac:dyDescent="0.3">
      <c r="A20" s="2">
        <v>45310</v>
      </c>
      <c r="B20">
        <f t="shared" si="0"/>
        <v>1</v>
      </c>
      <c r="C20" t="str">
        <f t="shared" si="1"/>
        <v>January</v>
      </c>
      <c r="D20" t="str">
        <f t="shared" si="2"/>
        <v>Friday</v>
      </c>
      <c r="E20" t="s">
        <v>14</v>
      </c>
      <c r="F20">
        <v>15</v>
      </c>
      <c r="G20">
        <v>9</v>
      </c>
      <c r="H20" s="3">
        <f t="shared" si="3"/>
        <v>0.6</v>
      </c>
      <c r="I20" s="4">
        <v>89</v>
      </c>
      <c r="J20" s="5">
        <f t="shared" si="4"/>
        <v>53.4</v>
      </c>
      <c r="K20" s="5">
        <f t="shared" si="5"/>
        <v>801</v>
      </c>
      <c r="L20" t="s">
        <v>17</v>
      </c>
    </row>
    <row r="21" spans="1:12" x14ac:dyDescent="0.3">
      <c r="A21" s="2">
        <v>45311</v>
      </c>
      <c r="B21">
        <f t="shared" si="0"/>
        <v>1</v>
      </c>
      <c r="C21" t="str">
        <f t="shared" si="1"/>
        <v>January</v>
      </c>
      <c r="D21" t="str">
        <f t="shared" si="2"/>
        <v>Saturday</v>
      </c>
      <c r="E21" t="s">
        <v>14</v>
      </c>
      <c r="F21">
        <v>15</v>
      </c>
      <c r="G21">
        <v>14</v>
      </c>
      <c r="H21" s="3">
        <f t="shared" si="3"/>
        <v>0.93333333333333335</v>
      </c>
      <c r="I21" s="4">
        <v>89</v>
      </c>
      <c r="J21" s="5">
        <f t="shared" si="4"/>
        <v>83.066666666666663</v>
      </c>
      <c r="K21" s="5">
        <f t="shared" si="5"/>
        <v>1246</v>
      </c>
      <c r="L21" t="s">
        <v>17</v>
      </c>
    </row>
    <row r="22" spans="1:12" x14ac:dyDescent="0.3">
      <c r="A22" s="2">
        <v>45312</v>
      </c>
      <c r="B22">
        <f t="shared" si="0"/>
        <v>1</v>
      </c>
      <c r="C22" t="str">
        <f t="shared" si="1"/>
        <v>January</v>
      </c>
      <c r="D22" t="str">
        <f t="shared" si="2"/>
        <v>Sunday</v>
      </c>
      <c r="E22" t="s">
        <v>14</v>
      </c>
      <c r="F22">
        <v>15</v>
      </c>
      <c r="G22">
        <v>9</v>
      </c>
      <c r="H22" s="3">
        <f t="shared" si="3"/>
        <v>0.6</v>
      </c>
      <c r="I22" s="4">
        <v>89</v>
      </c>
      <c r="J22" s="5">
        <f t="shared" si="4"/>
        <v>53.4</v>
      </c>
      <c r="K22" s="5">
        <f t="shared" si="5"/>
        <v>801</v>
      </c>
      <c r="L22" t="s">
        <v>17</v>
      </c>
    </row>
    <row r="23" spans="1:12" x14ac:dyDescent="0.3">
      <c r="A23" s="2">
        <v>45313</v>
      </c>
      <c r="B23">
        <f t="shared" si="0"/>
        <v>1</v>
      </c>
      <c r="C23" t="str">
        <f t="shared" si="1"/>
        <v>January</v>
      </c>
      <c r="D23" t="str">
        <f t="shared" si="2"/>
        <v>Monday</v>
      </c>
      <c r="E23" t="s">
        <v>14</v>
      </c>
      <c r="F23">
        <v>15</v>
      </c>
      <c r="G23">
        <v>11</v>
      </c>
      <c r="H23" s="3">
        <f t="shared" si="3"/>
        <v>0.73333333333333328</v>
      </c>
      <c r="I23" s="4">
        <v>89</v>
      </c>
      <c r="J23" s="5">
        <f t="shared" si="4"/>
        <v>65.266666666666666</v>
      </c>
      <c r="K23" s="5">
        <f t="shared" si="5"/>
        <v>979</v>
      </c>
      <c r="L23" t="s">
        <v>17</v>
      </c>
    </row>
    <row r="24" spans="1:12" x14ac:dyDescent="0.3">
      <c r="A24" s="2">
        <v>45314</v>
      </c>
      <c r="B24">
        <f t="shared" si="0"/>
        <v>1</v>
      </c>
      <c r="C24" t="str">
        <f t="shared" si="1"/>
        <v>January</v>
      </c>
      <c r="D24" t="str">
        <f t="shared" si="2"/>
        <v>Tuesday</v>
      </c>
      <c r="E24" t="s">
        <v>14</v>
      </c>
      <c r="F24">
        <v>15</v>
      </c>
      <c r="G24">
        <v>10</v>
      </c>
      <c r="H24" s="3">
        <f t="shared" si="3"/>
        <v>0.66666666666666663</v>
      </c>
      <c r="I24" s="4">
        <v>89</v>
      </c>
      <c r="J24" s="5">
        <f t="shared" si="4"/>
        <v>59.333333333333329</v>
      </c>
      <c r="K24" s="5">
        <f t="shared" si="5"/>
        <v>890</v>
      </c>
      <c r="L24" t="s">
        <v>17</v>
      </c>
    </row>
    <row r="25" spans="1:12" x14ac:dyDescent="0.3">
      <c r="A25" s="2">
        <v>45315</v>
      </c>
      <c r="B25">
        <f t="shared" si="0"/>
        <v>1</v>
      </c>
      <c r="C25" t="str">
        <f t="shared" si="1"/>
        <v>January</v>
      </c>
      <c r="D25" t="str">
        <f t="shared" si="2"/>
        <v>Wednesday</v>
      </c>
      <c r="E25" t="s">
        <v>12</v>
      </c>
      <c r="F25">
        <v>40</v>
      </c>
      <c r="G25">
        <v>25</v>
      </c>
      <c r="H25" s="3">
        <f t="shared" si="3"/>
        <v>0.625</v>
      </c>
      <c r="I25" s="4">
        <v>89</v>
      </c>
      <c r="J25" s="5">
        <f t="shared" si="4"/>
        <v>55.625</v>
      </c>
      <c r="K25" s="5">
        <f t="shared" si="5"/>
        <v>2225</v>
      </c>
      <c r="L25" t="s">
        <v>17</v>
      </c>
    </row>
    <row r="26" spans="1:12" x14ac:dyDescent="0.3">
      <c r="A26" s="2">
        <v>45316</v>
      </c>
      <c r="B26">
        <f t="shared" si="0"/>
        <v>1</v>
      </c>
      <c r="C26" t="str">
        <f t="shared" si="1"/>
        <v>January</v>
      </c>
      <c r="D26" t="str">
        <f t="shared" si="2"/>
        <v>Thursday</v>
      </c>
      <c r="E26" t="s">
        <v>12</v>
      </c>
      <c r="F26">
        <v>40</v>
      </c>
      <c r="G26">
        <v>24</v>
      </c>
      <c r="H26" s="3">
        <f t="shared" si="3"/>
        <v>0.6</v>
      </c>
      <c r="I26" s="4">
        <v>89</v>
      </c>
      <c r="J26" s="5">
        <f t="shared" si="4"/>
        <v>53.4</v>
      </c>
      <c r="K26" s="5">
        <f t="shared" si="5"/>
        <v>2136</v>
      </c>
      <c r="L26" t="s">
        <v>17</v>
      </c>
    </row>
    <row r="27" spans="1:12" x14ac:dyDescent="0.3">
      <c r="A27" s="2">
        <v>45317</v>
      </c>
      <c r="B27">
        <f t="shared" si="0"/>
        <v>1</v>
      </c>
      <c r="C27" t="str">
        <f t="shared" si="1"/>
        <v>January</v>
      </c>
      <c r="D27" t="str">
        <f t="shared" si="2"/>
        <v>Friday</v>
      </c>
      <c r="E27" t="s">
        <v>12</v>
      </c>
      <c r="F27">
        <v>40</v>
      </c>
      <c r="G27">
        <v>36</v>
      </c>
      <c r="H27" s="3">
        <f t="shared" si="3"/>
        <v>0.9</v>
      </c>
      <c r="I27" s="4">
        <v>89</v>
      </c>
      <c r="J27" s="5">
        <f t="shared" si="4"/>
        <v>80.100000000000009</v>
      </c>
      <c r="K27" s="5">
        <f t="shared" si="5"/>
        <v>3204</v>
      </c>
      <c r="L27" t="s">
        <v>17</v>
      </c>
    </row>
    <row r="28" spans="1:12" x14ac:dyDescent="0.3">
      <c r="A28" s="2">
        <v>45318</v>
      </c>
      <c r="B28">
        <f t="shared" si="0"/>
        <v>1</v>
      </c>
      <c r="C28" t="str">
        <f t="shared" si="1"/>
        <v>January</v>
      </c>
      <c r="D28" t="str">
        <f t="shared" si="2"/>
        <v>Saturday</v>
      </c>
      <c r="E28" t="s">
        <v>15</v>
      </c>
      <c r="F28">
        <v>10</v>
      </c>
      <c r="G28">
        <v>6</v>
      </c>
      <c r="H28" s="3">
        <f t="shared" si="3"/>
        <v>0.6</v>
      </c>
      <c r="I28" s="4">
        <v>89</v>
      </c>
      <c r="J28" s="5">
        <f t="shared" si="4"/>
        <v>53.4</v>
      </c>
      <c r="K28" s="5">
        <f t="shared" si="5"/>
        <v>534</v>
      </c>
      <c r="L28" t="s">
        <v>17</v>
      </c>
    </row>
    <row r="29" spans="1:12" x14ac:dyDescent="0.3">
      <c r="A29" s="2">
        <v>45319</v>
      </c>
      <c r="B29">
        <f t="shared" si="0"/>
        <v>1</v>
      </c>
      <c r="C29" t="str">
        <f t="shared" si="1"/>
        <v>January</v>
      </c>
      <c r="D29" t="str">
        <f t="shared" si="2"/>
        <v>Sunday</v>
      </c>
      <c r="E29" t="s">
        <v>15</v>
      </c>
      <c r="F29">
        <v>10</v>
      </c>
      <c r="G29">
        <v>9</v>
      </c>
      <c r="H29" s="3">
        <f t="shared" si="3"/>
        <v>0.9</v>
      </c>
      <c r="I29" s="4">
        <v>89</v>
      </c>
      <c r="J29" s="5">
        <f t="shared" si="4"/>
        <v>80.100000000000009</v>
      </c>
      <c r="K29" s="5">
        <f t="shared" si="5"/>
        <v>801</v>
      </c>
      <c r="L29" t="s">
        <v>17</v>
      </c>
    </row>
    <row r="30" spans="1:12" x14ac:dyDescent="0.3">
      <c r="A30" s="2">
        <v>45320</v>
      </c>
      <c r="B30">
        <f t="shared" si="0"/>
        <v>1</v>
      </c>
      <c r="C30" t="str">
        <f t="shared" si="1"/>
        <v>January</v>
      </c>
      <c r="D30" t="str">
        <f t="shared" si="2"/>
        <v>Monday</v>
      </c>
      <c r="E30" t="s">
        <v>15</v>
      </c>
      <c r="F30">
        <v>10</v>
      </c>
      <c r="G30">
        <v>8</v>
      </c>
      <c r="H30" s="3">
        <f t="shared" si="3"/>
        <v>0.8</v>
      </c>
      <c r="I30" s="4">
        <v>89</v>
      </c>
      <c r="J30" s="5">
        <f t="shared" si="4"/>
        <v>71.2</v>
      </c>
      <c r="K30" s="5">
        <f t="shared" si="5"/>
        <v>712</v>
      </c>
      <c r="L30" t="s">
        <v>17</v>
      </c>
    </row>
    <row r="31" spans="1:12" x14ac:dyDescent="0.3">
      <c r="A31" s="2">
        <v>45321</v>
      </c>
      <c r="B31">
        <f t="shared" si="0"/>
        <v>1</v>
      </c>
      <c r="C31" t="str">
        <f t="shared" si="1"/>
        <v>January</v>
      </c>
      <c r="D31" t="str">
        <f t="shared" si="2"/>
        <v>Tuesday</v>
      </c>
      <c r="E31" t="s">
        <v>15</v>
      </c>
      <c r="F31">
        <v>10</v>
      </c>
      <c r="G31">
        <v>10</v>
      </c>
      <c r="H31" s="3">
        <f t="shared" si="3"/>
        <v>1</v>
      </c>
      <c r="I31" s="4">
        <v>89</v>
      </c>
      <c r="J31" s="5">
        <f t="shared" si="4"/>
        <v>89</v>
      </c>
      <c r="K31" s="5">
        <f t="shared" si="5"/>
        <v>890</v>
      </c>
      <c r="L31" t="s">
        <v>17</v>
      </c>
    </row>
    <row r="32" spans="1:12" x14ac:dyDescent="0.3">
      <c r="A32" s="2">
        <v>45322</v>
      </c>
      <c r="B32">
        <f t="shared" si="0"/>
        <v>1</v>
      </c>
      <c r="C32" t="str">
        <f t="shared" si="1"/>
        <v>January</v>
      </c>
      <c r="D32" t="str">
        <f t="shared" si="2"/>
        <v>Wednesday</v>
      </c>
      <c r="E32" t="s">
        <v>15</v>
      </c>
      <c r="F32">
        <v>10</v>
      </c>
      <c r="G32">
        <v>10</v>
      </c>
      <c r="H32" s="3">
        <f t="shared" si="3"/>
        <v>1</v>
      </c>
      <c r="I32" s="4">
        <v>89</v>
      </c>
      <c r="J32" s="5">
        <f t="shared" si="4"/>
        <v>89</v>
      </c>
      <c r="K32" s="5">
        <f t="shared" si="5"/>
        <v>890</v>
      </c>
      <c r="L32" t="s">
        <v>17</v>
      </c>
    </row>
    <row r="33" spans="1:12" x14ac:dyDescent="0.3">
      <c r="A33" s="2">
        <v>45323</v>
      </c>
      <c r="B33">
        <f t="shared" si="0"/>
        <v>2</v>
      </c>
      <c r="C33" t="str">
        <f t="shared" si="1"/>
        <v>February</v>
      </c>
      <c r="D33" t="str">
        <f t="shared" si="2"/>
        <v>Thursday</v>
      </c>
      <c r="E33" t="s">
        <v>12</v>
      </c>
      <c r="F33">
        <v>40</v>
      </c>
      <c r="G33">
        <v>30</v>
      </c>
      <c r="H33" s="3">
        <f t="shared" si="3"/>
        <v>0.75</v>
      </c>
      <c r="I33" s="4">
        <v>89</v>
      </c>
      <c r="J33" s="5">
        <f t="shared" si="4"/>
        <v>66.75</v>
      </c>
      <c r="K33" s="5">
        <f t="shared" si="5"/>
        <v>2670</v>
      </c>
      <c r="L33" t="s">
        <v>17</v>
      </c>
    </row>
    <row r="34" spans="1:12" x14ac:dyDescent="0.3">
      <c r="A34" s="2">
        <v>45324</v>
      </c>
      <c r="B34">
        <f t="shared" si="0"/>
        <v>2</v>
      </c>
      <c r="C34" t="str">
        <f t="shared" si="1"/>
        <v>February</v>
      </c>
      <c r="D34" t="str">
        <f t="shared" si="2"/>
        <v>Friday</v>
      </c>
      <c r="E34" t="s">
        <v>12</v>
      </c>
      <c r="F34">
        <v>40</v>
      </c>
      <c r="G34">
        <v>30</v>
      </c>
      <c r="H34" s="3">
        <f t="shared" si="3"/>
        <v>0.75</v>
      </c>
      <c r="I34" s="4">
        <v>89</v>
      </c>
      <c r="J34" s="5">
        <f t="shared" si="4"/>
        <v>66.75</v>
      </c>
      <c r="K34" s="5">
        <f t="shared" si="5"/>
        <v>2670</v>
      </c>
      <c r="L34" t="s">
        <v>17</v>
      </c>
    </row>
    <row r="35" spans="1:12" x14ac:dyDescent="0.3">
      <c r="A35" s="2">
        <v>45325</v>
      </c>
      <c r="B35">
        <f t="shared" si="0"/>
        <v>2</v>
      </c>
      <c r="C35" t="str">
        <f t="shared" si="1"/>
        <v>February</v>
      </c>
      <c r="D35" t="str">
        <f t="shared" si="2"/>
        <v>Saturday</v>
      </c>
      <c r="E35" t="s">
        <v>12</v>
      </c>
      <c r="F35">
        <v>40</v>
      </c>
      <c r="G35">
        <v>35</v>
      </c>
      <c r="H35" s="3">
        <f t="shared" si="3"/>
        <v>0.875</v>
      </c>
      <c r="I35" s="4">
        <v>89</v>
      </c>
      <c r="J35" s="5">
        <f t="shared" si="4"/>
        <v>77.875</v>
      </c>
      <c r="K35" s="5">
        <f t="shared" si="5"/>
        <v>3115</v>
      </c>
      <c r="L35" t="s">
        <v>17</v>
      </c>
    </row>
    <row r="36" spans="1:12" x14ac:dyDescent="0.3">
      <c r="A36" s="2">
        <v>45326</v>
      </c>
      <c r="B36">
        <f t="shared" si="0"/>
        <v>2</v>
      </c>
      <c r="C36" t="str">
        <f t="shared" si="1"/>
        <v>February</v>
      </c>
      <c r="D36" t="str">
        <f t="shared" si="2"/>
        <v>Sunday</v>
      </c>
      <c r="E36" t="s">
        <v>14</v>
      </c>
      <c r="F36">
        <v>15</v>
      </c>
      <c r="G36">
        <v>14</v>
      </c>
      <c r="H36" s="3">
        <f t="shared" si="3"/>
        <v>0.93333333333333335</v>
      </c>
      <c r="I36" s="4">
        <v>89</v>
      </c>
      <c r="J36" s="5">
        <f t="shared" si="4"/>
        <v>83.066666666666663</v>
      </c>
      <c r="K36" s="5">
        <f t="shared" si="5"/>
        <v>1246</v>
      </c>
      <c r="L36" t="s">
        <v>17</v>
      </c>
    </row>
    <row r="37" spans="1:12" x14ac:dyDescent="0.3">
      <c r="A37" s="2">
        <v>45327</v>
      </c>
      <c r="B37">
        <f t="shared" si="0"/>
        <v>2</v>
      </c>
      <c r="C37" t="str">
        <f t="shared" si="1"/>
        <v>February</v>
      </c>
      <c r="D37" t="str">
        <f t="shared" si="2"/>
        <v>Monday</v>
      </c>
      <c r="E37" t="s">
        <v>14</v>
      </c>
      <c r="F37">
        <v>15</v>
      </c>
      <c r="G37">
        <v>13</v>
      </c>
      <c r="H37" s="3">
        <f t="shared" si="3"/>
        <v>0.8666666666666667</v>
      </c>
      <c r="I37" s="4">
        <v>89</v>
      </c>
      <c r="J37" s="5">
        <f t="shared" si="4"/>
        <v>77.13333333333334</v>
      </c>
      <c r="K37" s="5">
        <f t="shared" si="5"/>
        <v>1157</v>
      </c>
      <c r="L37" t="s">
        <v>17</v>
      </c>
    </row>
    <row r="38" spans="1:12" x14ac:dyDescent="0.3">
      <c r="A38" s="2">
        <v>45328</v>
      </c>
      <c r="B38">
        <f t="shared" si="0"/>
        <v>2</v>
      </c>
      <c r="C38" t="str">
        <f t="shared" si="1"/>
        <v>February</v>
      </c>
      <c r="D38" t="str">
        <f t="shared" si="2"/>
        <v>Tuesday</v>
      </c>
      <c r="E38" t="s">
        <v>14</v>
      </c>
      <c r="F38">
        <v>15</v>
      </c>
      <c r="G38">
        <v>14</v>
      </c>
      <c r="H38" s="3">
        <f t="shared" si="3"/>
        <v>0.93333333333333335</v>
      </c>
      <c r="I38" s="4">
        <v>89</v>
      </c>
      <c r="J38" s="5">
        <f t="shared" si="4"/>
        <v>83.066666666666663</v>
      </c>
      <c r="K38" s="5">
        <f t="shared" si="5"/>
        <v>1246</v>
      </c>
      <c r="L38" t="s">
        <v>17</v>
      </c>
    </row>
    <row r="39" spans="1:12" x14ac:dyDescent="0.3">
      <c r="A39" s="2">
        <v>45329</v>
      </c>
      <c r="B39">
        <f t="shared" si="0"/>
        <v>2</v>
      </c>
      <c r="C39" t="str">
        <f t="shared" si="1"/>
        <v>February</v>
      </c>
      <c r="D39" t="str">
        <f t="shared" si="2"/>
        <v>Wednesday</v>
      </c>
      <c r="E39" t="s">
        <v>14</v>
      </c>
      <c r="F39">
        <v>15</v>
      </c>
      <c r="G39">
        <v>14</v>
      </c>
      <c r="H39" s="3">
        <f t="shared" si="3"/>
        <v>0.93333333333333335</v>
      </c>
      <c r="I39" s="4">
        <v>89</v>
      </c>
      <c r="J39" s="5">
        <f t="shared" si="4"/>
        <v>83.066666666666663</v>
      </c>
      <c r="K39" s="5">
        <f t="shared" si="5"/>
        <v>1246</v>
      </c>
      <c r="L39" t="s">
        <v>17</v>
      </c>
    </row>
    <row r="40" spans="1:12" x14ac:dyDescent="0.3">
      <c r="A40" s="2">
        <v>45330</v>
      </c>
      <c r="B40">
        <f t="shared" si="0"/>
        <v>2</v>
      </c>
      <c r="C40" t="str">
        <f t="shared" si="1"/>
        <v>February</v>
      </c>
      <c r="D40" t="str">
        <f t="shared" si="2"/>
        <v>Thursday</v>
      </c>
      <c r="E40" t="s">
        <v>14</v>
      </c>
      <c r="F40">
        <v>15</v>
      </c>
      <c r="G40">
        <v>13</v>
      </c>
      <c r="H40" s="3">
        <f t="shared" si="3"/>
        <v>0.8666666666666667</v>
      </c>
      <c r="I40" s="4">
        <v>89</v>
      </c>
      <c r="J40" s="5">
        <f t="shared" si="4"/>
        <v>77.13333333333334</v>
      </c>
      <c r="K40" s="5">
        <f t="shared" si="5"/>
        <v>1157</v>
      </c>
      <c r="L40" t="s">
        <v>17</v>
      </c>
    </row>
    <row r="41" spans="1:12" x14ac:dyDescent="0.3">
      <c r="A41" s="2">
        <v>45331</v>
      </c>
      <c r="B41">
        <f t="shared" si="0"/>
        <v>2</v>
      </c>
      <c r="C41" t="str">
        <f t="shared" si="1"/>
        <v>February</v>
      </c>
      <c r="D41" t="str">
        <f t="shared" si="2"/>
        <v>Friday</v>
      </c>
      <c r="E41" t="s">
        <v>14</v>
      </c>
      <c r="F41">
        <v>15</v>
      </c>
      <c r="G41">
        <v>13</v>
      </c>
      <c r="H41" s="3">
        <f t="shared" si="3"/>
        <v>0.8666666666666667</v>
      </c>
      <c r="I41" s="4">
        <v>89</v>
      </c>
      <c r="J41" s="5">
        <f t="shared" si="4"/>
        <v>77.13333333333334</v>
      </c>
      <c r="K41" s="5">
        <f t="shared" si="5"/>
        <v>1157</v>
      </c>
      <c r="L41" t="s">
        <v>17</v>
      </c>
    </row>
    <row r="42" spans="1:12" x14ac:dyDescent="0.3">
      <c r="A42" s="2">
        <v>45332</v>
      </c>
      <c r="B42">
        <f t="shared" si="0"/>
        <v>2</v>
      </c>
      <c r="C42" t="str">
        <f t="shared" si="1"/>
        <v>February</v>
      </c>
      <c r="D42" t="str">
        <f t="shared" si="2"/>
        <v>Saturday</v>
      </c>
      <c r="E42" t="s">
        <v>14</v>
      </c>
      <c r="F42">
        <v>15</v>
      </c>
      <c r="G42">
        <v>9</v>
      </c>
      <c r="H42" s="3">
        <f t="shared" si="3"/>
        <v>0.6</v>
      </c>
      <c r="I42" s="4">
        <v>89</v>
      </c>
      <c r="J42" s="5">
        <f t="shared" si="4"/>
        <v>53.4</v>
      </c>
      <c r="K42" s="5">
        <f t="shared" si="5"/>
        <v>801</v>
      </c>
      <c r="L42" t="s">
        <v>17</v>
      </c>
    </row>
    <row r="43" spans="1:12" x14ac:dyDescent="0.3">
      <c r="A43" s="2">
        <v>45333</v>
      </c>
      <c r="B43">
        <f t="shared" si="0"/>
        <v>2</v>
      </c>
      <c r="C43" t="str">
        <f t="shared" si="1"/>
        <v>February</v>
      </c>
      <c r="D43" t="str">
        <f t="shared" si="2"/>
        <v>Sunday</v>
      </c>
      <c r="E43" t="s">
        <v>12</v>
      </c>
      <c r="F43">
        <v>40</v>
      </c>
      <c r="G43">
        <v>29</v>
      </c>
      <c r="H43" s="3">
        <f t="shared" si="3"/>
        <v>0.72499999999999998</v>
      </c>
      <c r="I43" s="4">
        <v>89</v>
      </c>
      <c r="J43" s="5">
        <f t="shared" si="4"/>
        <v>64.524999999999991</v>
      </c>
      <c r="K43" s="5">
        <f t="shared" si="5"/>
        <v>2581</v>
      </c>
      <c r="L43" t="s">
        <v>17</v>
      </c>
    </row>
    <row r="44" spans="1:12" x14ac:dyDescent="0.3">
      <c r="A44" s="2">
        <v>45334</v>
      </c>
      <c r="B44">
        <f t="shared" si="0"/>
        <v>2</v>
      </c>
      <c r="C44" t="str">
        <f t="shared" si="1"/>
        <v>February</v>
      </c>
      <c r="D44" t="str">
        <f t="shared" si="2"/>
        <v>Monday</v>
      </c>
      <c r="E44" t="s">
        <v>12</v>
      </c>
      <c r="F44">
        <v>40</v>
      </c>
      <c r="G44">
        <v>31</v>
      </c>
      <c r="H44" s="3">
        <f t="shared" si="3"/>
        <v>0.77500000000000002</v>
      </c>
      <c r="I44" s="4">
        <v>89</v>
      </c>
      <c r="J44" s="5">
        <f t="shared" si="4"/>
        <v>68.975000000000009</v>
      </c>
      <c r="K44" s="5">
        <f t="shared" si="5"/>
        <v>2759</v>
      </c>
      <c r="L44" t="s">
        <v>17</v>
      </c>
    </row>
    <row r="45" spans="1:12" x14ac:dyDescent="0.3">
      <c r="A45" s="2">
        <v>45335</v>
      </c>
      <c r="B45">
        <f t="shared" si="0"/>
        <v>2</v>
      </c>
      <c r="C45" t="str">
        <f t="shared" si="1"/>
        <v>February</v>
      </c>
      <c r="D45" t="str">
        <f t="shared" si="2"/>
        <v>Tuesday</v>
      </c>
      <c r="E45" t="s">
        <v>12</v>
      </c>
      <c r="F45">
        <v>40</v>
      </c>
      <c r="G45">
        <v>28</v>
      </c>
      <c r="H45" s="3">
        <f t="shared" si="3"/>
        <v>0.7</v>
      </c>
      <c r="I45" s="4">
        <v>89</v>
      </c>
      <c r="J45" s="5">
        <f t="shared" si="4"/>
        <v>62.3</v>
      </c>
      <c r="K45" s="5">
        <f t="shared" si="5"/>
        <v>2492</v>
      </c>
      <c r="L45" t="s">
        <v>17</v>
      </c>
    </row>
    <row r="46" spans="1:12" x14ac:dyDescent="0.3">
      <c r="A46" s="2">
        <v>45336</v>
      </c>
      <c r="B46">
        <f t="shared" si="0"/>
        <v>2</v>
      </c>
      <c r="C46" t="str">
        <f t="shared" si="1"/>
        <v>February</v>
      </c>
      <c r="D46" t="str">
        <f t="shared" si="2"/>
        <v>Wednesday</v>
      </c>
      <c r="E46" t="s">
        <v>13</v>
      </c>
      <c r="F46">
        <v>30</v>
      </c>
      <c r="G46">
        <v>19</v>
      </c>
      <c r="H46" s="3">
        <f t="shared" si="3"/>
        <v>0.6333333333333333</v>
      </c>
      <c r="I46" s="4">
        <v>89</v>
      </c>
      <c r="J46" s="5">
        <f t="shared" si="4"/>
        <v>56.366666666666667</v>
      </c>
      <c r="K46" s="5">
        <f t="shared" si="5"/>
        <v>1691</v>
      </c>
      <c r="L46" t="s">
        <v>17</v>
      </c>
    </row>
    <row r="47" spans="1:12" x14ac:dyDescent="0.3">
      <c r="A47" s="2">
        <v>45337</v>
      </c>
      <c r="B47">
        <f t="shared" si="0"/>
        <v>2</v>
      </c>
      <c r="C47" t="str">
        <f t="shared" si="1"/>
        <v>February</v>
      </c>
      <c r="D47" t="str">
        <f t="shared" si="2"/>
        <v>Thursday</v>
      </c>
      <c r="E47" t="s">
        <v>13</v>
      </c>
      <c r="F47">
        <v>30</v>
      </c>
      <c r="G47">
        <v>27</v>
      </c>
      <c r="H47" s="3">
        <f t="shared" si="3"/>
        <v>0.9</v>
      </c>
      <c r="I47" s="4">
        <v>89</v>
      </c>
      <c r="J47" s="5">
        <f t="shared" si="4"/>
        <v>80.100000000000009</v>
      </c>
      <c r="K47" s="5">
        <f t="shared" si="5"/>
        <v>2403</v>
      </c>
      <c r="L47" t="s">
        <v>17</v>
      </c>
    </row>
    <row r="48" spans="1:12" x14ac:dyDescent="0.3">
      <c r="A48" s="2">
        <v>45338</v>
      </c>
      <c r="B48">
        <f t="shared" si="0"/>
        <v>2</v>
      </c>
      <c r="C48" t="str">
        <f t="shared" si="1"/>
        <v>February</v>
      </c>
      <c r="D48" t="str">
        <f t="shared" si="2"/>
        <v>Friday</v>
      </c>
      <c r="E48" t="s">
        <v>13</v>
      </c>
      <c r="F48">
        <v>30</v>
      </c>
      <c r="G48">
        <v>20</v>
      </c>
      <c r="H48" s="3">
        <f t="shared" si="3"/>
        <v>0.66666666666666663</v>
      </c>
      <c r="I48" s="4">
        <v>89</v>
      </c>
      <c r="J48" s="5">
        <f t="shared" si="4"/>
        <v>59.333333333333329</v>
      </c>
      <c r="K48" s="5">
        <f t="shared" si="5"/>
        <v>1780</v>
      </c>
      <c r="L48" t="s">
        <v>17</v>
      </c>
    </row>
    <row r="49" spans="1:12" x14ac:dyDescent="0.3">
      <c r="A49" s="2">
        <v>45339</v>
      </c>
      <c r="B49">
        <f t="shared" si="0"/>
        <v>2</v>
      </c>
      <c r="C49" t="str">
        <f t="shared" si="1"/>
        <v>February</v>
      </c>
      <c r="D49" t="str">
        <f t="shared" si="2"/>
        <v>Saturday</v>
      </c>
      <c r="E49" t="s">
        <v>13</v>
      </c>
      <c r="F49">
        <v>30</v>
      </c>
      <c r="G49">
        <v>23</v>
      </c>
      <c r="H49" s="3">
        <f t="shared" si="3"/>
        <v>0.76666666666666672</v>
      </c>
      <c r="I49" s="4">
        <v>89</v>
      </c>
      <c r="J49" s="5">
        <f t="shared" si="4"/>
        <v>68.233333333333334</v>
      </c>
      <c r="K49" s="5">
        <f t="shared" si="5"/>
        <v>2047</v>
      </c>
      <c r="L49" t="s">
        <v>17</v>
      </c>
    </row>
    <row r="50" spans="1:12" x14ac:dyDescent="0.3">
      <c r="A50" s="2">
        <v>45340</v>
      </c>
      <c r="B50">
        <f t="shared" si="0"/>
        <v>2</v>
      </c>
      <c r="C50" t="str">
        <f t="shared" si="1"/>
        <v>February</v>
      </c>
      <c r="D50" t="str">
        <f t="shared" si="2"/>
        <v>Sunday</v>
      </c>
      <c r="E50" t="s">
        <v>13</v>
      </c>
      <c r="F50">
        <v>30</v>
      </c>
      <c r="G50">
        <v>22</v>
      </c>
      <c r="H50" s="3">
        <f t="shared" si="3"/>
        <v>0.73333333333333328</v>
      </c>
      <c r="I50" s="4">
        <v>89</v>
      </c>
      <c r="J50" s="5">
        <f t="shared" si="4"/>
        <v>65.266666666666666</v>
      </c>
      <c r="K50" s="5">
        <f t="shared" si="5"/>
        <v>1958</v>
      </c>
      <c r="L50" t="s">
        <v>17</v>
      </c>
    </row>
    <row r="51" spans="1:12" x14ac:dyDescent="0.3">
      <c r="A51" s="2">
        <v>45341</v>
      </c>
      <c r="B51">
        <f t="shared" si="0"/>
        <v>2</v>
      </c>
      <c r="C51" t="str">
        <f t="shared" si="1"/>
        <v>February</v>
      </c>
      <c r="D51" t="str">
        <f t="shared" si="2"/>
        <v>Monday</v>
      </c>
      <c r="E51" t="s">
        <v>13</v>
      </c>
      <c r="F51">
        <v>30</v>
      </c>
      <c r="G51">
        <v>25</v>
      </c>
      <c r="H51" s="3">
        <f t="shared" si="3"/>
        <v>0.83333333333333337</v>
      </c>
      <c r="I51" s="4">
        <v>89</v>
      </c>
      <c r="J51" s="5">
        <f t="shared" si="4"/>
        <v>74.166666666666671</v>
      </c>
      <c r="K51" s="5">
        <f t="shared" si="5"/>
        <v>2225</v>
      </c>
      <c r="L51" t="s">
        <v>17</v>
      </c>
    </row>
    <row r="52" spans="1:12" x14ac:dyDescent="0.3">
      <c r="A52" s="2">
        <v>45342</v>
      </c>
      <c r="B52">
        <f t="shared" si="0"/>
        <v>2</v>
      </c>
      <c r="C52" t="str">
        <f t="shared" si="1"/>
        <v>February</v>
      </c>
      <c r="D52" t="str">
        <f t="shared" si="2"/>
        <v>Tuesday</v>
      </c>
      <c r="E52" t="s">
        <v>13</v>
      </c>
      <c r="F52">
        <v>30</v>
      </c>
      <c r="G52">
        <v>18</v>
      </c>
      <c r="H52" s="3">
        <f t="shared" si="3"/>
        <v>0.6</v>
      </c>
      <c r="I52" s="4">
        <v>89</v>
      </c>
      <c r="J52" s="5">
        <f t="shared" si="4"/>
        <v>53.4</v>
      </c>
      <c r="K52" s="5">
        <f t="shared" si="5"/>
        <v>1602</v>
      </c>
      <c r="L52" t="s">
        <v>17</v>
      </c>
    </row>
    <row r="53" spans="1:12" x14ac:dyDescent="0.3">
      <c r="A53" s="2">
        <v>45343</v>
      </c>
      <c r="B53">
        <f t="shared" si="0"/>
        <v>2</v>
      </c>
      <c r="C53" t="str">
        <f t="shared" si="1"/>
        <v>February</v>
      </c>
      <c r="D53" t="str">
        <f t="shared" si="2"/>
        <v>Wednesday</v>
      </c>
      <c r="E53" t="s">
        <v>13</v>
      </c>
      <c r="F53">
        <v>30</v>
      </c>
      <c r="G53">
        <v>28</v>
      </c>
      <c r="H53" s="3">
        <f t="shared" si="3"/>
        <v>0.93333333333333335</v>
      </c>
      <c r="I53" s="4">
        <v>89</v>
      </c>
      <c r="J53" s="5">
        <f t="shared" si="4"/>
        <v>83.066666666666663</v>
      </c>
      <c r="K53" s="5">
        <f t="shared" si="5"/>
        <v>2492</v>
      </c>
      <c r="L53" t="s">
        <v>17</v>
      </c>
    </row>
    <row r="54" spans="1:12" x14ac:dyDescent="0.3">
      <c r="A54" s="2">
        <v>45344</v>
      </c>
      <c r="B54">
        <f t="shared" si="0"/>
        <v>2</v>
      </c>
      <c r="C54" t="str">
        <f t="shared" si="1"/>
        <v>February</v>
      </c>
      <c r="D54" t="str">
        <f t="shared" si="2"/>
        <v>Thursday</v>
      </c>
      <c r="E54" t="s">
        <v>13</v>
      </c>
      <c r="F54">
        <v>30</v>
      </c>
      <c r="G54">
        <v>23</v>
      </c>
      <c r="H54" s="3">
        <f t="shared" si="3"/>
        <v>0.76666666666666672</v>
      </c>
      <c r="I54" s="4">
        <v>89</v>
      </c>
      <c r="J54" s="5">
        <f t="shared" si="4"/>
        <v>68.233333333333334</v>
      </c>
      <c r="K54" s="5">
        <f t="shared" si="5"/>
        <v>2047</v>
      </c>
      <c r="L54" t="s">
        <v>17</v>
      </c>
    </row>
    <row r="55" spans="1:12" x14ac:dyDescent="0.3">
      <c r="A55" s="2">
        <v>45345</v>
      </c>
      <c r="B55">
        <f t="shared" si="0"/>
        <v>2</v>
      </c>
      <c r="C55" t="str">
        <f t="shared" si="1"/>
        <v>February</v>
      </c>
      <c r="D55" t="str">
        <f t="shared" si="2"/>
        <v>Friday</v>
      </c>
      <c r="E55" t="s">
        <v>13</v>
      </c>
      <c r="F55">
        <v>30</v>
      </c>
      <c r="G55">
        <v>24</v>
      </c>
      <c r="H55" s="3">
        <f t="shared" si="3"/>
        <v>0.8</v>
      </c>
      <c r="I55" s="4">
        <v>89</v>
      </c>
      <c r="J55" s="5">
        <f t="shared" si="4"/>
        <v>71.2</v>
      </c>
      <c r="K55" s="5">
        <f t="shared" si="5"/>
        <v>2136</v>
      </c>
      <c r="L55" t="s">
        <v>17</v>
      </c>
    </row>
    <row r="56" spans="1:12" x14ac:dyDescent="0.3">
      <c r="A56" s="2">
        <v>45346</v>
      </c>
      <c r="B56">
        <f t="shared" si="0"/>
        <v>2</v>
      </c>
      <c r="C56" t="str">
        <f t="shared" si="1"/>
        <v>February</v>
      </c>
      <c r="D56" t="str">
        <f t="shared" si="2"/>
        <v>Saturday</v>
      </c>
      <c r="E56" t="s">
        <v>12</v>
      </c>
      <c r="F56">
        <v>40</v>
      </c>
      <c r="G56">
        <v>30</v>
      </c>
      <c r="H56" s="3">
        <f t="shared" si="3"/>
        <v>0.75</v>
      </c>
      <c r="I56" s="4">
        <v>89</v>
      </c>
      <c r="J56" s="5">
        <f t="shared" si="4"/>
        <v>66.75</v>
      </c>
      <c r="K56" s="5">
        <f t="shared" si="5"/>
        <v>2670</v>
      </c>
      <c r="L56" t="s">
        <v>17</v>
      </c>
    </row>
    <row r="57" spans="1:12" x14ac:dyDescent="0.3">
      <c r="A57" s="2">
        <v>45347</v>
      </c>
      <c r="B57">
        <f t="shared" si="0"/>
        <v>2</v>
      </c>
      <c r="C57" t="str">
        <f t="shared" si="1"/>
        <v>February</v>
      </c>
      <c r="D57" t="str">
        <f t="shared" si="2"/>
        <v>Sunday</v>
      </c>
      <c r="E57" t="s">
        <v>16</v>
      </c>
      <c r="F57">
        <v>5</v>
      </c>
      <c r="G57">
        <v>4</v>
      </c>
      <c r="H57" s="3">
        <f t="shared" si="3"/>
        <v>0.8</v>
      </c>
      <c r="I57" s="4">
        <v>89</v>
      </c>
      <c r="J57" s="5">
        <f t="shared" si="4"/>
        <v>71.2</v>
      </c>
      <c r="K57" s="5">
        <f t="shared" si="5"/>
        <v>356</v>
      </c>
      <c r="L57" t="s">
        <v>17</v>
      </c>
    </row>
    <row r="58" spans="1:12" x14ac:dyDescent="0.3">
      <c r="A58" s="2">
        <v>45348</v>
      </c>
      <c r="B58">
        <f t="shared" si="0"/>
        <v>2</v>
      </c>
      <c r="C58" t="str">
        <f t="shared" si="1"/>
        <v>February</v>
      </c>
      <c r="D58" t="str">
        <f t="shared" si="2"/>
        <v>Monday</v>
      </c>
      <c r="E58" t="s">
        <v>16</v>
      </c>
      <c r="F58">
        <v>5</v>
      </c>
      <c r="G58">
        <v>5</v>
      </c>
      <c r="H58" s="3">
        <f t="shared" si="3"/>
        <v>1</v>
      </c>
      <c r="I58" s="4">
        <v>89</v>
      </c>
      <c r="J58" s="5">
        <f t="shared" si="4"/>
        <v>89</v>
      </c>
      <c r="K58" s="5">
        <f t="shared" si="5"/>
        <v>445</v>
      </c>
      <c r="L58" t="s">
        <v>17</v>
      </c>
    </row>
    <row r="59" spans="1:12" x14ac:dyDescent="0.3">
      <c r="A59" s="2">
        <v>45349</v>
      </c>
      <c r="B59">
        <f t="shared" si="0"/>
        <v>2</v>
      </c>
      <c r="C59" t="str">
        <f t="shared" si="1"/>
        <v>February</v>
      </c>
      <c r="D59" t="str">
        <f t="shared" si="2"/>
        <v>Tuesday</v>
      </c>
      <c r="E59" t="s">
        <v>16</v>
      </c>
      <c r="F59">
        <v>5</v>
      </c>
      <c r="G59">
        <v>3</v>
      </c>
      <c r="H59" s="3">
        <f t="shared" si="3"/>
        <v>0.6</v>
      </c>
      <c r="I59" s="4">
        <v>89</v>
      </c>
      <c r="J59" s="5">
        <f t="shared" si="4"/>
        <v>53.4</v>
      </c>
      <c r="K59" s="5">
        <f t="shared" si="5"/>
        <v>267</v>
      </c>
      <c r="L59" t="s">
        <v>17</v>
      </c>
    </row>
    <row r="60" spans="1:12" x14ac:dyDescent="0.3">
      <c r="A60" s="2">
        <v>45350</v>
      </c>
      <c r="B60">
        <f t="shared" si="0"/>
        <v>2</v>
      </c>
      <c r="C60" t="str">
        <f t="shared" si="1"/>
        <v>February</v>
      </c>
      <c r="D60" t="str">
        <f t="shared" si="2"/>
        <v>Wednesday</v>
      </c>
      <c r="E60" t="s">
        <v>16</v>
      </c>
      <c r="F60">
        <v>5</v>
      </c>
      <c r="G60">
        <v>4</v>
      </c>
      <c r="H60" s="3">
        <f t="shared" si="3"/>
        <v>0.8</v>
      </c>
      <c r="I60" s="4">
        <v>89</v>
      </c>
      <c r="J60" s="5">
        <f t="shared" si="4"/>
        <v>71.2</v>
      </c>
      <c r="K60" s="5">
        <f t="shared" si="5"/>
        <v>356</v>
      </c>
      <c r="L60" t="s">
        <v>17</v>
      </c>
    </row>
    <row r="61" spans="1:12" x14ac:dyDescent="0.3">
      <c r="A61" s="2">
        <v>45351</v>
      </c>
      <c r="B61">
        <f t="shared" si="0"/>
        <v>2</v>
      </c>
      <c r="C61" t="str">
        <f t="shared" si="1"/>
        <v>February</v>
      </c>
      <c r="D61" t="str">
        <f t="shared" si="2"/>
        <v>Thursday</v>
      </c>
      <c r="E61" t="s">
        <v>16</v>
      </c>
      <c r="F61">
        <v>5</v>
      </c>
      <c r="G61">
        <v>4</v>
      </c>
      <c r="H61" s="3">
        <f t="shared" si="3"/>
        <v>0.8</v>
      </c>
      <c r="I61" s="4">
        <v>89</v>
      </c>
      <c r="J61" s="5">
        <f t="shared" si="4"/>
        <v>71.2</v>
      </c>
      <c r="K61" s="5">
        <f t="shared" si="5"/>
        <v>356</v>
      </c>
      <c r="L61" t="s">
        <v>17</v>
      </c>
    </row>
    <row r="62" spans="1:12" x14ac:dyDescent="0.3">
      <c r="A62" s="2">
        <v>45352</v>
      </c>
      <c r="B62">
        <f t="shared" si="0"/>
        <v>3</v>
      </c>
      <c r="C62" t="str">
        <f t="shared" si="1"/>
        <v>March</v>
      </c>
      <c r="D62" t="str">
        <f t="shared" si="2"/>
        <v>Friday</v>
      </c>
      <c r="E62" t="s">
        <v>16</v>
      </c>
      <c r="F62">
        <v>5</v>
      </c>
      <c r="G62">
        <v>5</v>
      </c>
      <c r="H62" s="3">
        <f t="shared" si="3"/>
        <v>1</v>
      </c>
      <c r="I62" s="4">
        <v>89</v>
      </c>
      <c r="J62" s="5">
        <f t="shared" si="4"/>
        <v>89</v>
      </c>
      <c r="K62" s="5">
        <f t="shared" si="5"/>
        <v>445</v>
      </c>
      <c r="L62" t="s">
        <v>17</v>
      </c>
    </row>
    <row r="63" spans="1:12" x14ac:dyDescent="0.3">
      <c r="A63" s="2">
        <v>45353</v>
      </c>
      <c r="B63">
        <f t="shared" si="0"/>
        <v>3</v>
      </c>
      <c r="C63" t="str">
        <f t="shared" si="1"/>
        <v>March</v>
      </c>
      <c r="D63" t="str">
        <f t="shared" si="2"/>
        <v>Saturday</v>
      </c>
      <c r="E63" t="s">
        <v>16</v>
      </c>
      <c r="F63">
        <v>5</v>
      </c>
      <c r="G63">
        <v>4</v>
      </c>
      <c r="H63" s="3">
        <f t="shared" si="3"/>
        <v>0.8</v>
      </c>
      <c r="I63" s="4">
        <v>89</v>
      </c>
      <c r="J63" s="5">
        <f t="shared" si="4"/>
        <v>71.2</v>
      </c>
      <c r="K63" s="5">
        <f t="shared" si="5"/>
        <v>356</v>
      </c>
      <c r="L63" t="s">
        <v>17</v>
      </c>
    </row>
    <row r="64" spans="1:12" x14ac:dyDescent="0.3">
      <c r="A64" s="2">
        <v>45354</v>
      </c>
      <c r="B64">
        <f t="shared" si="0"/>
        <v>3</v>
      </c>
      <c r="C64" t="str">
        <f t="shared" si="1"/>
        <v>March</v>
      </c>
      <c r="D64" t="str">
        <f t="shared" si="2"/>
        <v>Sunday</v>
      </c>
      <c r="E64" t="s">
        <v>16</v>
      </c>
      <c r="F64">
        <v>5</v>
      </c>
      <c r="G64">
        <v>3</v>
      </c>
      <c r="H64" s="3">
        <f t="shared" si="3"/>
        <v>0.6</v>
      </c>
      <c r="I64" s="4">
        <v>89</v>
      </c>
      <c r="J64" s="5">
        <f t="shared" si="4"/>
        <v>53.4</v>
      </c>
      <c r="K64" s="5">
        <f t="shared" si="5"/>
        <v>267</v>
      </c>
      <c r="L64" t="s">
        <v>17</v>
      </c>
    </row>
    <row r="65" spans="1:12" x14ac:dyDescent="0.3">
      <c r="A65" s="2">
        <v>45355</v>
      </c>
      <c r="B65">
        <f t="shared" si="0"/>
        <v>3</v>
      </c>
      <c r="C65" t="str">
        <f t="shared" si="1"/>
        <v>March</v>
      </c>
      <c r="D65" t="str">
        <f t="shared" si="2"/>
        <v>Monday</v>
      </c>
      <c r="E65" t="s">
        <v>16</v>
      </c>
      <c r="F65">
        <v>5</v>
      </c>
      <c r="G65">
        <v>4</v>
      </c>
      <c r="H65" s="3">
        <f t="shared" si="3"/>
        <v>0.8</v>
      </c>
      <c r="I65" s="4">
        <v>89</v>
      </c>
      <c r="J65" s="5">
        <f t="shared" si="4"/>
        <v>71.2</v>
      </c>
      <c r="K65" s="5">
        <f t="shared" si="5"/>
        <v>356</v>
      </c>
      <c r="L65" t="s">
        <v>17</v>
      </c>
    </row>
    <row r="66" spans="1:12" x14ac:dyDescent="0.3">
      <c r="A66" s="2">
        <v>45356</v>
      </c>
      <c r="B66">
        <f t="shared" si="0"/>
        <v>3</v>
      </c>
      <c r="C66" t="str">
        <f t="shared" si="1"/>
        <v>March</v>
      </c>
      <c r="D66" t="str">
        <f t="shared" si="2"/>
        <v>Tuesday</v>
      </c>
      <c r="E66" t="s">
        <v>16</v>
      </c>
      <c r="F66">
        <v>5</v>
      </c>
      <c r="G66">
        <v>3</v>
      </c>
      <c r="H66" s="3">
        <f t="shared" si="3"/>
        <v>0.6</v>
      </c>
      <c r="I66" s="4">
        <v>89</v>
      </c>
      <c r="J66" s="5">
        <f t="shared" si="4"/>
        <v>53.4</v>
      </c>
      <c r="K66" s="5">
        <f t="shared" si="5"/>
        <v>267</v>
      </c>
      <c r="L66" t="s">
        <v>17</v>
      </c>
    </row>
    <row r="67" spans="1:12" x14ac:dyDescent="0.3">
      <c r="A67" s="2">
        <v>45357</v>
      </c>
      <c r="B67">
        <f t="shared" ref="B67:B130" si="6">MONTH(A67)</f>
        <v>3</v>
      </c>
      <c r="C67" t="str">
        <f t="shared" ref="C67:C130" si="7">TEXT(A67,"MMMM")</f>
        <v>March</v>
      </c>
      <c r="D67" t="str">
        <f t="shared" ref="D67:D130" si="8">TEXT(A67,"dddd")</f>
        <v>Wednesday</v>
      </c>
      <c r="E67" t="s">
        <v>12</v>
      </c>
      <c r="F67">
        <v>40</v>
      </c>
      <c r="G67">
        <v>29</v>
      </c>
      <c r="H67" s="3">
        <f t="shared" ref="H67:H130" si="9">G67/F67</f>
        <v>0.72499999999999998</v>
      </c>
      <c r="I67" s="4">
        <v>89</v>
      </c>
      <c r="J67" s="5">
        <f t="shared" ref="J67:J130" si="10">I67*H67</f>
        <v>64.524999999999991</v>
      </c>
      <c r="K67" s="5">
        <f t="shared" ref="K67:K130" si="11">I67*G67</f>
        <v>2581</v>
      </c>
      <c r="L67" t="s">
        <v>17</v>
      </c>
    </row>
    <row r="68" spans="1:12" x14ac:dyDescent="0.3">
      <c r="A68" s="2">
        <v>45358</v>
      </c>
      <c r="B68">
        <f t="shared" si="6"/>
        <v>3</v>
      </c>
      <c r="C68" t="str">
        <f t="shared" si="7"/>
        <v>March</v>
      </c>
      <c r="D68" t="str">
        <f t="shared" si="8"/>
        <v>Thursday</v>
      </c>
      <c r="E68" t="s">
        <v>12</v>
      </c>
      <c r="F68">
        <v>40</v>
      </c>
      <c r="G68">
        <v>38</v>
      </c>
      <c r="H68" s="3">
        <f t="shared" si="9"/>
        <v>0.95</v>
      </c>
      <c r="I68" s="4">
        <v>89</v>
      </c>
      <c r="J68" s="5">
        <f t="shared" si="10"/>
        <v>84.55</v>
      </c>
      <c r="K68" s="5">
        <f t="shared" si="11"/>
        <v>3382</v>
      </c>
      <c r="L68" t="s">
        <v>17</v>
      </c>
    </row>
    <row r="69" spans="1:12" x14ac:dyDescent="0.3">
      <c r="A69" s="2">
        <v>45359</v>
      </c>
      <c r="B69">
        <f t="shared" si="6"/>
        <v>3</v>
      </c>
      <c r="C69" t="str">
        <f t="shared" si="7"/>
        <v>March</v>
      </c>
      <c r="D69" t="str">
        <f t="shared" si="8"/>
        <v>Friday</v>
      </c>
      <c r="E69" t="s">
        <v>15</v>
      </c>
      <c r="F69">
        <v>10</v>
      </c>
      <c r="G69">
        <v>9</v>
      </c>
      <c r="H69" s="3">
        <f t="shared" si="9"/>
        <v>0.9</v>
      </c>
      <c r="I69" s="4">
        <v>89</v>
      </c>
      <c r="J69" s="5">
        <f t="shared" si="10"/>
        <v>80.100000000000009</v>
      </c>
      <c r="K69" s="5">
        <f t="shared" si="11"/>
        <v>801</v>
      </c>
      <c r="L69" t="s">
        <v>17</v>
      </c>
    </row>
    <row r="70" spans="1:12" x14ac:dyDescent="0.3">
      <c r="A70" s="2">
        <v>45360</v>
      </c>
      <c r="B70">
        <f t="shared" si="6"/>
        <v>3</v>
      </c>
      <c r="C70" t="str">
        <f t="shared" si="7"/>
        <v>March</v>
      </c>
      <c r="D70" t="str">
        <f t="shared" si="8"/>
        <v>Saturday</v>
      </c>
      <c r="E70" t="s">
        <v>15</v>
      </c>
      <c r="F70">
        <v>10</v>
      </c>
      <c r="G70">
        <v>6</v>
      </c>
      <c r="H70" s="3">
        <f t="shared" si="9"/>
        <v>0.6</v>
      </c>
      <c r="I70" s="4">
        <v>89</v>
      </c>
      <c r="J70" s="5">
        <f t="shared" si="10"/>
        <v>53.4</v>
      </c>
      <c r="K70" s="5">
        <f t="shared" si="11"/>
        <v>534</v>
      </c>
      <c r="L70" t="s">
        <v>17</v>
      </c>
    </row>
    <row r="71" spans="1:12" x14ac:dyDescent="0.3">
      <c r="A71" s="2">
        <v>45361</v>
      </c>
      <c r="B71">
        <f t="shared" si="6"/>
        <v>3</v>
      </c>
      <c r="C71" t="str">
        <f t="shared" si="7"/>
        <v>March</v>
      </c>
      <c r="D71" t="str">
        <f t="shared" si="8"/>
        <v>Sunday</v>
      </c>
      <c r="E71" t="s">
        <v>15</v>
      </c>
      <c r="F71">
        <v>10</v>
      </c>
      <c r="G71">
        <v>8</v>
      </c>
      <c r="H71" s="3">
        <f t="shared" si="9"/>
        <v>0.8</v>
      </c>
      <c r="I71" s="4">
        <v>89</v>
      </c>
      <c r="J71" s="5">
        <f t="shared" si="10"/>
        <v>71.2</v>
      </c>
      <c r="K71" s="5">
        <f t="shared" si="11"/>
        <v>712</v>
      </c>
      <c r="L71" t="s">
        <v>17</v>
      </c>
    </row>
    <row r="72" spans="1:12" x14ac:dyDescent="0.3">
      <c r="A72" s="2">
        <v>45362</v>
      </c>
      <c r="B72">
        <f t="shared" si="6"/>
        <v>3</v>
      </c>
      <c r="C72" t="str">
        <f t="shared" si="7"/>
        <v>March</v>
      </c>
      <c r="D72" t="str">
        <f t="shared" si="8"/>
        <v>Monday</v>
      </c>
      <c r="E72" t="s">
        <v>15</v>
      </c>
      <c r="F72">
        <v>10</v>
      </c>
      <c r="G72">
        <v>8</v>
      </c>
      <c r="H72" s="3">
        <f t="shared" si="9"/>
        <v>0.8</v>
      </c>
      <c r="I72" s="4">
        <v>89</v>
      </c>
      <c r="J72" s="5">
        <f t="shared" si="10"/>
        <v>71.2</v>
      </c>
      <c r="K72" s="5">
        <f t="shared" si="11"/>
        <v>712</v>
      </c>
      <c r="L72" t="s">
        <v>17</v>
      </c>
    </row>
    <row r="73" spans="1:12" x14ac:dyDescent="0.3">
      <c r="A73" s="2">
        <v>45363</v>
      </c>
      <c r="B73">
        <f t="shared" si="6"/>
        <v>3</v>
      </c>
      <c r="C73" t="str">
        <f t="shared" si="7"/>
        <v>March</v>
      </c>
      <c r="D73" t="str">
        <f t="shared" si="8"/>
        <v>Tuesday</v>
      </c>
      <c r="E73" t="s">
        <v>15</v>
      </c>
      <c r="F73">
        <v>10</v>
      </c>
      <c r="G73">
        <v>6</v>
      </c>
      <c r="H73" s="3">
        <f t="shared" si="9"/>
        <v>0.6</v>
      </c>
      <c r="I73" s="4">
        <v>89</v>
      </c>
      <c r="J73" s="5">
        <f t="shared" si="10"/>
        <v>53.4</v>
      </c>
      <c r="K73" s="5">
        <f t="shared" si="11"/>
        <v>534</v>
      </c>
      <c r="L73" t="s">
        <v>17</v>
      </c>
    </row>
    <row r="74" spans="1:12" x14ac:dyDescent="0.3">
      <c r="A74" s="2">
        <v>45364</v>
      </c>
      <c r="B74">
        <f t="shared" si="6"/>
        <v>3</v>
      </c>
      <c r="C74" t="str">
        <f t="shared" si="7"/>
        <v>March</v>
      </c>
      <c r="D74" t="str">
        <f t="shared" si="8"/>
        <v>Wednesday</v>
      </c>
      <c r="E74" t="s">
        <v>15</v>
      </c>
      <c r="F74">
        <v>10</v>
      </c>
      <c r="G74">
        <v>6</v>
      </c>
      <c r="H74" s="3">
        <f t="shared" si="9"/>
        <v>0.6</v>
      </c>
      <c r="I74" s="4">
        <v>89</v>
      </c>
      <c r="J74" s="5">
        <f t="shared" si="10"/>
        <v>53.4</v>
      </c>
      <c r="K74" s="5">
        <f t="shared" si="11"/>
        <v>534</v>
      </c>
      <c r="L74" t="s">
        <v>17</v>
      </c>
    </row>
    <row r="75" spans="1:12" x14ac:dyDescent="0.3">
      <c r="A75" s="2">
        <v>45365</v>
      </c>
      <c r="B75">
        <f t="shared" si="6"/>
        <v>3</v>
      </c>
      <c r="C75" t="str">
        <f t="shared" si="7"/>
        <v>March</v>
      </c>
      <c r="D75" t="str">
        <f t="shared" si="8"/>
        <v>Thursday</v>
      </c>
      <c r="E75" t="s">
        <v>15</v>
      </c>
      <c r="F75">
        <v>10</v>
      </c>
      <c r="G75">
        <v>6</v>
      </c>
      <c r="H75" s="3">
        <f t="shared" si="9"/>
        <v>0.6</v>
      </c>
      <c r="I75" s="4">
        <v>89</v>
      </c>
      <c r="J75" s="5">
        <f t="shared" si="10"/>
        <v>53.4</v>
      </c>
      <c r="K75" s="5">
        <f t="shared" si="11"/>
        <v>534</v>
      </c>
      <c r="L75" t="s">
        <v>17</v>
      </c>
    </row>
    <row r="76" spans="1:12" x14ac:dyDescent="0.3">
      <c r="A76" s="2">
        <v>45366</v>
      </c>
      <c r="B76">
        <f t="shared" si="6"/>
        <v>3</v>
      </c>
      <c r="C76" t="str">
        <f t="shared" si="7"/>
        <v>March</v>
      </c>
      <c r="D76" t="str">
        <f t="shared" si="8"/>
        <v>Friday</v>
      </c>
      <c r="E76" t="s">
        <v>15</v>
      </c>
      <c r="F76">
        <v>10</v>
      </c>
      <c r="G76">
        <v>10</v>
      </c>
      <c r="H76" s="3">
        <f t="shared" si="9"/>
        <v>1</v>
      </c>
      <c r="I76" s="4">
        <v>89</v>
      </c>
      <c r="J76" s="5">
        <f t="shared" si="10"/>
        <v>89</v>
      </c>
      <c r="K76" s="5">
        <f t="shared" si="11"/>
        <v>890</v>
      </c>
      <c r="L76" t="s">
        <v>17</v>
      </c>
    </row>
    <row r="77" spans="1:12" x14ac:dyDescent="0.3">
      <c r="A77" s="2">
        <v>45367</v>
      </c>
      <c r="B77">
        <f t="shared" si="6"/>
        <v>3</v>
      </c>
      <c r="C77" t="str">
        <f t="shared" si="7"/>
        <v>March</v>
      </c>
      <c r="D77" t="str">
        <f t="shared" si="8"/>
        <v>Saturday</v>
      </c>
      <c r="E77" t="s">
        <v>12</v>
      </c>
      <c r="F77">
        <v>40</v>
      </c>
      <c r="G77">
        <v>30</v>
      </c>
      <c r="H77" s="3">
        <f t="shared" si="9"/>
        <v>0.75</v>
      </c>
      <c r="I77" s="4">
        <v>89</v>
      </c>
      <c r="J77" s="5">
        <f t="shared" si="10"/>
        <v>66.75</v>
      </c>
      <c r="K77" s="5">
        <f t="shared" si="11"/>
        <v>2670</v>
      </c>
      <c r="L77" t="s">
        <v>17</v>
      </c>
    </row>
    <row r="78" spans="1:12" x14ac:dyDescent="0.3">
      <c r="A78" s="2">
        <v>45368</v>
      </c>
      <c r="B78">
        <f t="shared" si="6"/>
        <v>3</v>
      </c>
      <c r="C78" t="str">
        <f t="shared" si="7"/>
        <v>March</v>
      </c>
      <c r="D78" t="str">
        <f t="shared" si="8"/>
        <v>Sunday</v>
      </c>
      <c r="E78" t="s">
        <v>12</v>
      </c>
      <c r="F78">
        <v>40</v>
      </c>
      <c r="G78">
        <v>37</v>
      </c>
      <c r="H78" s="3">
        <f t="shared" si="9"/>
        <v>0.92500000000000004</v>
      </c>
      <c r="I78" s="4">
        <v>89</v>
      </c>
      <c r="J78" s="5">
        <f t="shared" si="10"/>
        <v>82.325000000000003</v>
      </c>
      <c r="K78" s="5">
        <f t="shared" si="11"/>
        <v>3293</v>
      </c>
      <c r="L78" t="s">
        <v>17</v>
      </c>
    </row>
    <row r="79" spans="1:12" x14ac:dyDescent="0.3">
      <c r="A79" s="2">
        <v>45369</v>
      </c>
      <c r="B79">
        <f t="shared" si="6"/>
        <v>3</v>
      </c>
      <c r="C79" t="str">
        <f t="shared" si="7"/>
        <v>March</v>
      </c>
      <c r="D79" t="str">
        <f t="shared" si="8"/>
        <v>Monday</v>
      </c>
      <c r="E79" t="s">
        <v>12</v>
      </c>
      <c r="F79">
        <v>40</v>
      </c>
      <c r="G79">
        <v>26</v>
      </c>
      <c r="H79" s="3">
        <f t="shared" si="9"/>
        <v>0.65</v>
      </c>
      <c r="I79" s="4">
        <v>89</v>
      </c>
      <c r="J79" s="5">
        <f t="shared" si="10"/>
        <v>57.85</v>
      </c>
      <c r="K79" s="5">
        <f t="shared" si="11"/>
        <v>2314</v>
      </c>
      <c r="L79" t="s">
        <v>17</v>
      </c>
    </row>
    <row r="80" spans="1:12" x14ac:dyDescent="0.3">
      <c r="A80" s="2">
        <v>45370</v>
      </c>
      <c r="B80">
        <f t="shared" si="6"/>
        <v>3</v>
      </c>
      <c r="C80" t="str">
        <f t="shared" si="7"/>
        <v>March</v>
      </c>
      <c r="D80" t="str">
        <f t="shared" si="8"/>
        <v>Tuesday</v>
      </c>
      <c r="E80" t="s">
        <v>12</v>
      </c>
      <c r="F80">
        <v>40</v>
      </c>
      <c r="G80">
        <v>35</v>
      </c>
      <c r="H80" s="3">
        <f t="shared" si="9"/>
        <v>0.875</v>
      </c>
      <c r="I80" s="4">
        <v>89</v>
      </c>
      <c r="J80" s="5">
        <f t="shared" si="10"/>
        <v>77.875</v>
      </c>
      <c r="K80" s="5">
        <f t="shared" si="11"/>
        <v>3115</v>
      </c>
      <c r="L80" t="s">
        <v>17</v>
      </c>
    </row>
    <row r="81" spans="1:12" x14ac:dyDescent="0.3">
      <c r="A81" s="2">
        <v>45371</v>
      </c>
      <c r="B81">
        <f t="shared" si="6"/>
        <v>3</v>
      </c>
      <c r="C81" t="str">
        <f t="shared" si="7"/>
        <v>March</v>
      </c>
      <c r="D81" t="str">
        <f t="shared" si="8"/>
        <v>Wednesday</v>
      </c>
      <c r="E81" t="s">
        <v>12</v>
      </c>
      <c r="F81">
        <v>40</v>
      </c>
      <c r="G81">
        <v>34</v>
      </c>
      <c r="H81" s="3">
        <f t="shared" si="9"/>
        <v>0.85</v>
      </c>
      <c r="I81" s="4">
        <v>89</v>
      </c>
      <c r="J81" s="5">
        <f t="shared" si="10"/>
        <v>75.649999999999991</v>
      </c>
      <c r="K81" s="5">
        <f t="shared" si="11"/>
        <v>3026</v>
      </c>
      <c r="L81" t="s">
        <v>18</v>
      </c>
    </row>
    <row r="82" spans="1:12" x14ac:dyDescent="0.3">
      <c r="A82" s="2">
        <v>45372</v>
      </c>
      <c r="B82">
        <f t="shared" si="6"/>
        <v>3</v>
      </c>
      <c r="C82" t="str">
        <f t="shared" si="7"/>
        <v>March</v>
      </c>
      <c r="D82" t="str">
        <f t="shared" si="8"/>
        <v>Thursday</v>
      </c>
      <c r="E82" t="s">
        <v>12</v>
      </c>
      <c r="F82">
        <v>40</v>
      </c>
      <c r="G82">
        <v>29</v>
      </c>
      <c r="H82" s="3">
        <f t="shared" si="9"/>
        <v>0.72499999999999998</v>
      </c>
      <c r="I82" s="4">
        <v>89</v>
      </c>
      <c r="J82" s="5">
        <f t="shared" si="10"/>
        <v>64.524999999999991</v>
      </c>
      <c r="K82" s="5">
        <f t="shared" si="11"/>
        <v>2581</v>
      </c>
      <c r="L82" t="s">
        <v>18</v>
      </c>
    </row>
    <row r="83" spans="1:12" x14ac:dyDescent="0.3">
      <c r="A83" s="2">
        <v>45373</v>
      </c>
      <c r="B83">
        <f t="shared" si="6"/>
        <v>3</v>
      </c>
      <c r="C83" t="str">
        <f t="shared" si="7"/>
        <v>March</v>
      </c>
      <c r="D83" t="str">
        <f t="shared" si="8"/>
        <v>Friday</v>
      </c>
      <c r="E83" t="s">
        <v>12</v>
      </c>
      <c r="F83">
        <v>40</v>
      </c>
      <c r="G83">
        <v>32</v>
      </c>
      <c r="H83" s="3">
        <f t="shared" si="9"/>
        <v>0.8</v>
      </c>
      <c r="I83" s="4">
        <v>89</v>
      </c>
      <c r="J83" s="5">
        <f t="shared" si="10"/>
        <v>71.2</v>
      </c>
      <c r="K83" s="5">
        <f t="shared" si="11"/>
        <v>2848</v>
      </c>
      <c r="L83" t="s">
        <v>18</v>
      </c>
    </row>
    <row r="84" spans="1:12" x14ac:dyDescent="0.3">
      <c r="A84" s="2">
        <v>45374</v>
      </c>
      <c r="B84">
        <f t="shared" si="6"/>
        <v>3</v>
      </c>
      <c r="C84" t="str">
        <f t="shared" si="7"/>
        <v>March</v>
      </c>
      <c r="D84" t="str">
        <f t="shared" si="8"/>
        <v>Saturday</v>
      </c>
      <c r="E84" t="s">
        <v>12</v>
      </c>
      <c r="F84">
        <v>40</v>
      </c>
      <c r="G84">
        <v>25</v>
      </c>
      <c r="H84" s="3">
        <f t="shared" si="9"/>
        <v>0.625</v>
      </c>
      <c r="I84" s="4">
        <v>89</v>
      </c>
      <c r="J84" s="5">
        <f t="shared" si="10"/>
        <v>55.625</v>
      </c>
      <c r="K84" s="5">
        <f t="shared" si="11"/>
        <v>2225</v>
      </c>
      <c r="L84" t="s">
        <v>18</v>
      </c>
    </row>
    <row r="85" spans="1:12" x14ac:dyDescent="0.3">
      <c r="A85" s="2">
        <v>45375</v>
      </c>
      <c r="B85">
        <f t="shared" si="6"/>
        <v>3</v>
      </c>
      <c r="C85" t="str">
        <f t="shared" si="7"/>
        <v>March</v>
      </c>
      <c r="D85" t="str">
        <f t="shared" si="8"/>
        <v>Sunday</v>
      </c>
      <c r="E85" t="s">
        <v>13</v>
      </c>
      <c r="F85">
        <v>30</v>
      </c>
      <c r="G85">
        <v>24</v>
      </c>
      <c r="H85" s="3">
        <f t="shared" si="9"/>
        <v>0.8</v>
      </c>
      <c r="I85" s="4">
        <v>89</v>
      </c>
      <c r="J85" s="5">
        <f t="shared" si="10"/>
        <v>71.2</v>
      </c>
      <c r="K85" s="5">
        <f t="shared" si="11"/>
        <v>2136</v>
      </c>
      <c r="L85" t="s">
        <v>18</v>
      </c>
    </row>
    <row r="86" spans="1:12" x14ac:dyDescent="0.3">
      <c r="A86" s="2">
        <v>45376</v>
      </c>
      <c r="B86">
        <f t="shared" si="6"/>
        <v>3</v>
      </c>
      <c r="C86" t="str">
        <f t="shared" si="7"/>
        <v>March</v>
      </c>
      <c r="D86" t="str">
        <f t="shared" si="8"/>
        <v>Monday</v>
      </c>
      <c r="E86" t="s">
        <v>13</v>
      </c>
      <c r="F86">
        <v>30</v>
      </c>
      <c r="G86">
        <v>19</v>
      </c>
      <c r="H86" s="3">
        <f t="shared" si="9"/>
        <v>0.6333333333333333</v>
      </c>
      <c r="I86" s="4">
        <v>89</v>
      </c>
      <c r="J86" s="5">
        <f t="shared" si="10"/>
        <v>56.366666666666667</v>
      </c>
      <c r="K86" s="5">
        <f t="shared" si="11"/>
        <v>1691</v>
      </c>
      <c r="L86" t="s">
        <v>18</v>
      </c>
    </row>
    <row r="87" spans="1:12" x14ac:dyDescent="0.3">
      <c r="A87" s="2">
        <v>45377</v>
      </c>
      <c r="B87">
        <f t="shared" si="6"/>
        <v>3</v>
      </c>
      <c r="C87" t="str">
        <f t="shared" si="7"/>
        <v>March</v>
      </c>
      <c r="D87" t="str">
        <f t="shared" si="8"/>
        <v>Tuesday</v>
      </c>
      <c r="E87" t="s">
        <v>13</v>
      </c>
      <c r="F87">
        <v>30</v>
      </c>
      <c r="G87">
        <v>21</v>
      </c>
      <c r="H87" s="3">
        <f t="shared" si="9"/>
        <v>0.7</v>
      </c>
      <c r="I87" s="4">
        <v>89</v>
      </c>
      <c r="J87" s="5">
        <f t="shared" si="10"/>
        <v>62.3</v>
      </c>
      <c r="K87" s="5">
        <f t="shared" si="11"/>
        <v>1869</v>
      </c>
      <c r="L87" t="s">
        <v>18</v>
      </c>
    </row>
    <row r="88" spans="1:12" x14ac:dyDescent="0.3">
      <c r="A88" s="2">
        <v>45378</v>
      </c>
      <c r="B88">
        <f t="shared" si="6"/>
        <v>3</v>
      </c>
      <c r="C88" t="str">
        <f t="shared" si="7"/>
        <v>March</v>
      </c>
      <c r="D88" t="str">
        <f t="shared" si="8"/>
        <v>Wednesday</v>
      </c>
      <c r="E88" t="s">
        <v>13</v>
      </c>
      <c r="F88">
        <v>30</v>
      </c>
      <c r="G88">
        <v>20</v>
      </c>
      <c r="H88" s="3">
        <f t="shared" si="9"/>
        <v>0.66666666666666663</v>
      </c>
      <c r="I88" s="4">
        <v>89</v>
      </c>
      <c r="J88" s="5">
        <f t="shared" si="10"/>
        <v>59.333333333333329</v>
      </c>
      <c r="K88" s="5">
        <f t="shared" si="11"/>
        <v>1780</v>
      </c>
      <c r="L88" t="s">
        <v>18</v>
      </c>
    </row>
    <row r="89" spans="1:12" x14ac:dyDescent="0.3">
      <c r="A89" s="2">
        <v>45379</v>
      </c>
      <c r="B89">
        <f t="shared" si="6"/>
        <v>3</v>
      </c>
      <c r="C89" t="str">
        <f t="shared" si="7"/>
        <v>March</v>
      </c>
      <c r="D89" t="str">
        <f t="shared" si="8"/>
        <v>Thursday</v>
      </c>
      <c r="E89" t="s">
        <v>13</v>
      </c>
      <c r="F89">
        <v>30</v>
      </c>
      <c r="G89">
        <v>22</v>
      </c>
      <c r="H89" s="3">
        <f t="shared" si="9"/>
        <v>0.73333333333333328</v>
      </c>
      <c r="I89" s="4">
        <v>89</v>
      </c>
      <c r="J89" s="5">
        <f t="shared" si="10"/>
        <v>65.266666666666666</v>
      </c>
      <c r="K89" s="5">
        <f t="shared" si="11"/>
        <v>1958</v>
      </c>
      <c r="L89" t="s">
        <v>18</v>
      </c>
    </row>
    <row r="90" spans="1:12" x14ac:dyDescent="0.3">
      <c r="A90" s="2">
        <v>45380</v>
      </c>
      <c r="B90">
        <f t="shared" si="6"/>
        <v>3</v>
      </c>
      <c r="C90" t="str">
        <f t="shared" si="7"/>
        <v>March</v>
      </c>
      <c r="D90" t="str">
        <f t="shared" si="8"/>
        <v>Friday</v>
      </c>
      <c r="E90" t="s">
        <v>13</v>
      </c>
      <c r="F90">
        <v>30</v>
      </c>
      <c r="G90">
        <v>22</v>
      </c>
      <c r="H90" s="3">
        <f t="shared" si="9"/>
        <v>0.73333333333333328</v>
      </c>
      <c r="I90" s="4">
        <v>89</v>
      </c>
      <c r="J90" s="5">
        <f t="shared" si="10"/>
        <v>65.266666666666666</v>
      </c>
      <c r="K90" s="5">
        <f t="shared" si="11"/>
        <v>1958</v>
      </c>
      <c r="L90" t="s">
        <v>18</v>
      </c>
    </row>
    <row r="91" spans="1:12" x14ac:dyDescent="0.3">
      <c r="A91" s="2">
        <v>45381</v>
      </c>
      <c r="B91">
        <f t="shared" si="6"/>
        <v>3</v>
      </c>
      <c r="C91" t="str">
        <f t="shared" si="7"/>
        <v>March</v>
      </c>
      <c r="D91" t="str">
        <f t="shared" si="8"/>
        <v>Saturday</v>
      </c>
      <c r="E91" t="s">
        <v>13</v>
      </c>
      <c r="F91">
        <v>30</v>
      </c>
      <c r="G91">
        <v>29</v>
      </c>
      <c r="H91" s="3">
        <f t="shared" si="9"/>
        <v>0.96666666666666667</v>
      </c>
      <c r="I91" s="4">
        <v>89</v>
      </c>
      <c r="J91" s="5">
        <f t="shared" si="10"/>
        <v>86.033333333333331</v>
      </c>
      <c r="K91" s="5">
        <f t="shared" si="11"/>
        <v>2581</v>
      </c>
      <c r="L91" t="s">
        <v>18</v>
      </c>
    </row>
    <row r="92" spans="1:12" x14ac:dyDescent="0.3">
      <c r="A92" s="2">
        <v>45382</v>
      </c>
      <c r="B92">
        <f t="shared" si="6"/>
        <v>3</v>
      </c>
      <c r="C92" t="str">
        <f t="shared" si="7"/>
        <v>March</v>
      </c>
      <c r="D92" t="str">
        <f t="shared" si="8"/>
        <v>Sunday</v>
      </c>
      <c r="E92" t="s">
        <v>13</v>
      </c>
      <c r="F92">
        <v>30</v>
      </c>
      <c r="G92">
        <v>21</v>
      </c>
      <c r="H92" s="3">
        <f t="shared" si="9"/>
        <v>0.7</v>
      </c>
      <c r="I92" s="4">
        <v>89</v>
      </c>
      <c r="J92" s="5">
        <f t="shared" si="10"/>
        <v>62.3</v>
      </c>
      <c r="K92" s="5">
        <f t="shared" si="11"/>
        <v>1869</v>
      </c>
      <c r="L92" t="s">
        <v>18</v>
      </c>
    </row>
    <row r="93" spans="1:12" x14ac:dyDescent="0.3">
      <c r="A93" s="2">
        <v>45383</v>
      </c>
      <c r="B93">
        <f t="shared" si="6"/>
        <v>4</v>
      </c>
      <c r="C93" t="str">
        <f t="shared" si="7"/>
        <v>April</v>
      </c>
      <c r="D93" t="str">
        <f t="shared" si="8"/>
        <v>Monday</v>
      </c>
      <c r="E93" t="s">
        <v>13</v>
      </c>
      <c r="F93">
        <v>30</v>
      </c>
      <c r="G93">
        <v>23</v>
      </c>
      <c r="H93" s="3">
        <f t="shared" si="9"/>
        <v>0.76666666666666672</v>
      </c>
      <c r="I93" s="4">
        <v>89</v>
      </c>
      <c r="J93" s="5">
        <f t="shared" si="10"/>
        <v>68.233333333333334</v>
      </c>
      <c r="K93" s="5">
        <f t="shared" si="11"/>
        <v>2047</v>
      </c>
      <c r="L93" t="s">
        <v>18</v>
      </c>
    </row>
    <row r="94" spans="1:12" x14ac:dyDescent="0.3">
      <c r="A94" s="2">
        <v>45384</v>
      </c>
      <c r="B94">
        <f t="shared" si="6"/>
        <v>4</v>
      </c>
      <c r="C94" t="str">
        <f t="shared" si="7"/>
        <v>April</v>
      </c>
      <c r="D94" t="str">
        <f t="shared" si="8"/>
        <v>Tuesday</v>
      </c>
      <c r="E94" t="s">
        <v>12</v>
      </c>
      <c r="F94">
        <v>40</v>
      </c>
      <c r="G94">
        <v>28</v>
      </c>
      <c r="H94" s="3">
        <f t="shared" si="9"/>
        <v>0.7</v>
      </c>
      <c r="I94" s="4">
        <v>89</v>
      </c>
      <c r="J94" s="5">
        <f t="shared" si="10"/>
        <v>62.3</v>
      </c>
      <c r="K94" s="5">
        <f t="shared" si="11"/>
        <v>2492</v>
      </c>
      <c r="L94" t="s">
        <v>18</v>
      </c>
    </row>
    <row r="95" spans="1:12" x14ac:dyDescent="0.3">
      <c r="A95" s="2">
        <v>45385</v>
      </c>
      <c r="B95">
        <f t="shared" si="6"/>
        <v>4</v>
      </c>
      <c r="C95" t="str">
        <f t="shared" si="7"/>
        <v>April</v>
      </c>
      <c r="D95" t="str">
        <f t="shared" si="8"/>
        <v>Wednesday</v>
      </c>
      <c r="E95" t="s">
        <v>12</v>
      </c>
      <c r="F95">
        <v>40</v>
      </c>
      <c r="G95">
        <v>37</v>
      </c>
      <c r="H95" s="3">
        <f t="shared" si="9"/>
        <v>0.92500000000000004</v>
      </c>
      <c r="I95" s="4">
        <v>89</v>
      </c>
      <c r="J95" s="5">
        <f t="shared" si="10"/>
        <v>82.325000000000003</v>
      </c>
      <c r="K95" s="5">
        <f t="shared" si="11"/>
        <v>3293</v>
      </c>
      <c r="L95" t="s">
        <v>18</v>
      </c>
    </row>
    <row r="96" spans="1:12" x14ac:dyDescent="0.3">
      <c r="A96" s="2">
        <v>45386</v>
      </c>
      <c r="B96">
        <f t="shared" si="6"/>
        <v>4</v>
      </c>
      <c r="C96" t="str">
        <f t="shared" si="7"/>
        <v>April</v>
      </c>
      <c r="D96" t="str">
        <f t="shared" si="8"/>
        <v>Thursday</v>
      </c>
      <c r="E96" t="s">
        <v>12</v>
      </c>
      <c r="F96">
        <v>40</v>
      </c>
      <c r="G96">
        <v>29</v>
      </c>
      <c r="H96" s="3">
        <f t="shared" si="9"/>
        <v>0.72499999999999998</v>
      </c>
      <c r="I96" s="4">
        <v>89</v>
      </c>
      <c r="J96" s="5">
        <f t="shared" si="10"/>
        <v>64.524999999999991</v>
      </c>
      <c r="K96" s="5">
        <f t="shared" si="11"/>
        <v>2581</v>
      </c>
      <c r="L96" t="s">
        <v>18</v>
      </c>
    </row>
    <row r="97" spans="1:12" x14ac:dyDescent="0.3">
      <c r="A97" s="2">
        <v>45387</v>
      </c>
      <c r="B97">
        <f t="shared" si="6"/>
        <v>4</v>
      </c>
      <c r="C97" t="str">
        <f t="shared" si="7"/>
        <v>April</v>
      </c>
      <c r="D97" t="str">
        <f t="shared" si="8"/>
        <v>Friday</v>
      </c>
      <c r="E97" t="s">
        <v>15</v>
      </c>
      <c r="F97">
        <v>10</v>
      </c>
      <c r="G97">
        <v>9</v>
      </c>
      <c r="H97" s="3">
        <f t="shared" si="9"/>
        <v>0.9</v>
      </c>
      <c r="I97" s="4">
        <v>89</v>
      </c>
      <c r="J97" s="5">
        <f t="shared" si="10"/>
        <v>80.100000000000009</v>
      </c>
      <c r="K97" s="5">
        <f t="shared" si="11"/>
        <v>801</v>
      </c>
      <c r="L97" t="s">
        <v>18</v>
      </c>
    </row>
    <row r="98" spans="1:12" x14ac:dyDescent="0.3">
      <c r="A98" s="2">
        <v>45388</v>
      </c>
      <c r="B98">
        <f t="shared" si="6"/>
        <v>4</v>
      </c>
      <c r="C98" t="str">
        <f t="shared" si="7"/>
        <v>April</v>
      </c>
      <c r="D98" t="str">
        <f t="shared" si="8"/>
        <v>Saturday</v>
      </c>
      <c r="E98" t="s">
        <v>15</v>
      </c>
      <c r="F98">
        <v>10</v>
      </c>
      <c r="G98">
        <v>10</v>
      </c>
      <c r="H98" s="3">
        <f t="shared" si="9"/>
        <v>1</v>
      </c>
      <c r="I98" s="4">
        <v>89</v>
      </c>
      <c r="J98" s="5">
        <f t="shared" si="10"/>
        <v>89</v>
      </c>
      <c r="K98" s="5">
        <f t="shared" si="11"/>
        <v>890</v>
      </c>
      <c r="L98" t="s">
        <v>18</v>
      </c>
    </row>
    <row r="99" spans="1:12" x14ac:dyDescent="0.3">
      <c r="A99" s="2">
        <v>45389</v>
      </c>
      <c r="B99">
        <f t="shared" si="6"/>
        <v>4</v>
      </c>
      <c r="C99" t="str">
        <f t="shared" si="7"/>
        <v>April</v>
      </c>
      <c r="D99" t="str">
        <f t="shared" si="8"/>
        <v>Sunday</v>
      </c>
      <c r="E99" t="s">
        <v>15</v>
      </c>
      <c r="F99">
        <v>10</v>
      </c>
      <c r="G99">
        <v>7</v>
      </c>
      <c r="H99" s="3">
        <f t="shared" si="9"/>
        <v>0.7</v>
      </c>
      <c r="I99" s="4">
        <v>89</v>
      </c>
      <c r="J99" s="5">
        <f t="shared" si="10"/>
        <v>62.3</v>
      </c>
      <c r="K99" s="5">
        <f t="shared" si="11"/>
        <v>623</v>
      </c>
      <c r="L99" t="s">
        <v>18</v>
      </c>
    </row>
    <row r="100" spans="1:12" x14ac:dyDescent="0.3">
      <c r="A100" s="2">
        <v>45390</v>
      </c>
      <c r="B100">
        <f t="shared" si="6"/>
        <v>4</v>
      </c>
      <c r="C100" t="str">
        <f t="shared" si="7"/>
        <v>April</v>
      </c>
      <c r="D100" t="str">
        <f t="shared" si="8"/>
        <v>Monday</v>
      </c>
      <c r="E100" t="s">
        <v>12</v>
      </c>
      <c r="F100">
        <v>40</v>
      </c>
      <c r="G100">
        <v>28</v>
      </c>
      <c r="H100" s="3">
        <f t="shared" si="9"/>
        <v>0.7</v>
      </c>
      <c r="I100" s="4">
        <v>89</v>
      </c>
      <c r="J100" s="5">
        <f t="shared" si="10"/>
        <v>62.3</v>
      </c>
      <c r="K100" s="5">
        <f t="shared" si="11"/>
        <v>2492</v>
      </c>
      <c r="L100" t="s">
        <v>18</v>
      </c>
    </row>
    <row r="101" spans="1:12" x14ac:dyDescent="0.3">
      <c r="A101" s="2">
        <v>45391</v>
      </c>
      <c r="B101">
        <f t="shared" si="6"/>
        <v>4</v>
      </c>
      <c r="C101" t="str">
        <f t="shared" si="7"/>
        <v>April</v>
      </c>
      <c r="D101" t="str">
        <f t="shared" si="8"/>
        <v>Tuesday</v>
      </c>
      <c r="E101" t="s">
        <v>16</v>
      </c>
      <c r="F101">
        <v>5</v>
      </c>
      <c r="G101">
        <v>4</v>
      </c>
      <c r="H101" s="3">
        <f t="shared" si="9"/>
        <v>0.8</v>
      </c>
      <c r="I101" s="4">
        <v>89</v>
      </c>
      <c r="J101" s="5">
        <f t="shared" si="10"/>
        <v>71.2</v>
      </c>
      <c r="K101" s="5">
        <f t="shared" si="11"/>
        <v>356</v>
      </c>
      <c r="L101" t="s">
        <v>18</v>
      </c>
    </row>
    <row r="102" spans="1:12" x14ac:dyDescent="0.3">
      <c r="A102" s="2">
        <v>45392</v>
      </c>
      <c r="B102">
        <f t="shared" si="6"/>
        <v>4</v>
      </c>
      <c r="C102" t="str">
        <f t="shared" si="7"/>
        <v>April</v>
      </c>
      <c r="D102" t="str">
        <f t="shared" si="8"/>
        <v>Wednesday</v>
      </c>
      <c r="E102" t="s">
        <v>16</v>
      </c>
      <c r="F102">
        <v>5</v>
      </c>
      <c r="G102">
        <v>5</v>
      </c>
      <c r="H102" s="3">
        <f t="shared" si="9"/>
        <v>1</v>
      </c>
      <c r="I102" s="4">
        <v>89</v>
      </c>
      <c r="J102" s="5">
        <f t="shared" si="10"/>
        <v>89</v>
      </c>
      <c r="K102" s="5">
        <f t="shared" si="11"/>
        <v>445</v>
      </c>
      <c r="L102" t="s">
        <v>18</v>
      </c>
    </row>
    <row r="103" spans="1:12" x14ac:dyDescent="0.3">
      <c r="A103" s="2">
        <v>45393</v>
      </c>
      <c r="B103">
        <f t="shared" si="6"/>
        <v>4</v>
      </c>
      <c r="C103" t="str">
        <f t="shared" si="7"/>
        <v>April</v>
      </c>
      <c r="D103" t="str">
        <f t="shared" si="8"/>
        <v>Thursday</v>
      </c>
      <c r="E103" t="s">
        <v>16</v>
      </c>
      <c r="F103">
        <v>5</v>
      </c>
      <c r="G103">
        <v>4</v>
      </c>
      <c r="H103" s="3">
        <f t="shared" si="9"/>
        <v>0.8</v>
      </c>
      <c r="I103" s="4">
        <v>89</v>
      </c>
      <c r="J103" s="5">
        <f t="shared" si="10"/>
        <v>71.2</v>
      </c>
      <c r="K103" s="5">
        <f t="shared" si="11"/>
        <v>356</v>
      </c>
      <c r="L103" t="s">
        <v>18</v>
      </c>
    </row>
    <row r="104" spans="1:12" x14ac:dyDescent="0.3">
      <c r="A104" s="2">
        <v>45394</v>
      </c>
      <c r="B104">
        <f t="shared" si="6"/>
        <v>4</v>
      </c>
      <c r="C104" t="str">
        <f t="shared" si="7"/>
        <v>April</v>
      </c>
      <c r="D104" t="str">
        <f t="shared" si="8"/>
        <v>Friday</v>
      </c>
      <c r="E104" t="s">
        <v>16</v>
      </c>
      <c r="F104">
        <v>5</v>
      </c>
      <c r="G104">
        <v>4</v>
      </c>
      <c r="H104" s="3">
        <f t="shared" si="9"/>
        <v>0.8</v>
      </c>
      <c r="I104" s="4">
        <v>89</v>
      </c>
      <c r="J104" s="5">
        <f t="shared" si="10"/>
        <v>71.2</v>
      </c>
      <c r="K104" s="5">
        <f t="shared" si="11"/>
        <v>356</v>
      </c>
      <c r="L104" t="s">
        <v>18</v>
      </c>
    </row>
    <row r="105" spans="1:12" x14ac:dyDescent="0.3">
      <c r="A105" s="2">
        <v>45395</v>
      </c>
      <c r="B105">
        <f t="shared" si="6"/>
        <v>4</v>
      </c>
      <c r="C105" t="str">
        <f t="shared" si="7"/>
        <v>April</v>
      </c>
      <c r="D105" t="str">
        <f t="shared" si="8"/>
        <v>Saturday</v>
      </c>
      <c r="E105" t="s">
        <v>12</v>
      </c>
      <c r="F105">
        <v>40</v>
      </c>
      <c r="G105">
        <v>28</v>
      </c>
      <c r="H105" s="3">
        <f t="shared" si="9"/>
        <v>0.7</v>
      </c>
      <c r="I105" s="4">
        <v>89</v>
      </c>
      <c r="J105" s="5">
        <f t="shared" si="10"/>
        <v>62.3</v>
      </c>
      <c r="K105" s="5">
        <f t="shared" si="11"/>
        <v>2492</v>
      </c>
      <c r="L105" t="s">
        <v>18</v>
      </c>
    </row>
    <row r="106" spans="1:12" x14ac:dyDescent="0.3">
      <c r="A106" s="2">
        <v>45396</v>
      </c>
      <c r="B106">
        <f t="shared" si="6"/>
        <v>4</v>
      </c>
      <c r="C106" t="str">
        <f t="shared" si="7"/>
        <v>April</v>
      </c>
      <c r="D106" t="str">
        <f t="shared" si="8"/>
        <v>Sunday</v>
      </c>
      <c r="E106" t="s">
        <v>12</v>
      </c>
      <c r="F106">
        <v>40</v>
      </c>
      <c r="G106">
        <v>28</v>
      </c>
      <c r="H106" s="3">
        <f t="shared" si="9"/>
        <v>0.7</v>
      </c>
      <c r="I106" s="4">
        <v>89</v>
      </c>
      <c r="J106" s="5">
        <f t="shared" si="10"/>
        <v>62.3</v>
      </c>
      <c r="K106" s="5">
        <f t="shared" si="11"/>
        <v>2492</v>
      </c>
      <c r="L106" t="s">
        <v>18</v>
      </c>
    </row>
    <row r="107" spans="1:12" x14ac:dyDescent="0.3">
      <c r="A107" s="2">
        <v>45397</v>
      </c>
      <c r="B107">
        <f t="shared" si="6"/>
        <v>4</v>
      </c>
      <c r="C107" t="str">
        <f t="shared" si="7"/>
        <v>April</v>
      </c>
      <c r="D107" t="str">
        <f t="shared" si="8"/>
        <v>Monday</v>
      </c>
      <c r="E107" t="s">
        <v>12</v>
      </c>
      <c r="F107">
        <v>40</v>
      </c>
      <c r="G107">
        <v>34</v>
      </c>
      <c r="H107" s="3">
        <f t="shared" si="9"/>
        <v>0.85</v>
      </c>
      <c r="I107" s="4">
        <v>89</v>
      </c>
      <c r="J107" s="5">
        <f t="shared" si="10"/>
        <v>75.649999999999991</v>
      </c>
      <c r="K107" s="5">
        <f t="shared" si="11"/>
        <v>3026</v>
      </c>
      <c r="L107" t="s">
        <v>18</v>
      </c>
    </row>
    <row r="108" spans="1:12" x14ac:dyDescent="0.3">
      <c r="A108" s="2">
        <v>45398</v>
      </c>
      <c r="B108">
        <f t="shared" si="6"/>
        <v>4</v>
      </c>
      <c r="C108" t="str">
        <f t="shared" si="7"/>
        <v>April</v>
      </c>
      <c r="D108" t="str">
        <f t="shared" si="8"/>
        <v>Tuesday</v>
      </c>
      <c r="E108" t="s">
        <v>12</v>
      </c>
      <c r="F108">
        <v>40</v>
      </c>
      <c r="G108">
        <v>29</v>
      </c>
      <c r="H108" s="3">
        <f t="shared" si="9"/>
        <v>0.72499999999999998</v>
      </c>
      <c r="I108" s="4">
        <v>89</v>
      </c>
      <c r="J108" s="5">
        <f t="shared" si="10"/>
        <v>64.524999999999991</v>
      </c>
      <c r="K108" s="5">
        <f t="shared" si="11"/>
        <v>2581</v>
      </c>
      <c r="L108" t="s">
        <v>18</v>
      </c>
    </row>
    <row r="109" spans="1:12" x14ac:dyDescent="0.3">
      <c r="A109" s="2">
        <v>45399</v>
      </c>
      <c r="B109">
        <f t="shared" si="6"/>
        <v>4</v>
      </c>
      <c r="C109" t="str">
        <f t="shared" si="7"/>
        <v>April</v>
      </c>
      <c r="D109" t="str">
        <f t="shared" si="8"/>
        <v>Wednesday</v>
      </c>
      <c r="E109" t="s">
        <v>12</v>
      </c>
      <c r="F109">
        <v>40</v>
      </c>
      <c r="G109">
        <v>29</v>
      </c>
      <c r="H109" s="3">
        <f t="shared" si="9"/>
        <v>0.72499999999999998</v>
      </c>
      <c r="I109" s="4">
        <v>89</v>
      </c>
      <c r="J109" s="5">
        <f t="shared" si="10"/>
        <v>64.524999999999991</v>
      </c>
      <c r="K109" s="5">
        <f t="shared" si="11"/>
        <v>2581</v>
      </c>
      <c r="L109" t="s">
        <v>18</v>
      </c>
    </row>
    <row r="110" spans="1:12" x14ac:dyDescent="0.3">
      <c r="A110" s="2">
        <v>45400</v>
      </c>
      <c r="B110">
        <f t="shared" si="6"/>
        <v>4</v>
      </c>
      <c r="C110" t="str">
        <f t="shared" si="7"/>
        <v>April</v>
      </c>
      <c r="D110" t="str">
        <f t="shared" si="8"/>
        <v>Thursday</v>
      </c>
      <c r="E110" t="s">
        <v>13</v>
      </c>
      <c r="F110">
        <v>30</v>
      </c>
      <c r="G110">
        <v>26</v>
      </c>
      <c r="H110" s="3">
        <f t="shared" si="9"/>
        <v>0.8666666666666667</v>
      </c>
      <c r="I110" s="4">
        <v>89</v>
      </c>
      <c r="J110" s="5">
        <f t="shared" si="10"/>
        <v>77.13333333333334</v>
      </c>
      <c r="K110" s="5">
        <f t="shared" si="11"/>
        <v>2314</v>
      </c>
      <c r="L110" t="s">
        <v>18</v>
      </c>
    </row>
    <row r="111" spans="1:12" x14ac:dyDescent="0.3">
      <c r="A111" s="2">
        <v>45401</v>
      </c>
      <c r="B111">
        <f t="shared" si="6"/>
        <v>4</v>
      </c>
      <c r="C111" t="str">
        <f t="shared" si="7"/>
        <v>April</v>
      </c>
      <c r="D111" t="str">
        <f t="shared" si="8"/>
        <v>Friday</v>
      </c>
      <c r="E111" t="s">
        <v>13</v>
      </c>
      <c r="F111">
        <v>30</v>
      </c>
      <c r="G111">
        <v>22</v>
      </c>
      <c r="H111" s="3">
        <f t="shared" si="9"/>
        <v>0.73333333333333328</v>
      </c>
      <c r="I111" s="4">
        <v>89</v>
      </c>
      <c r="J111" s="5">
        <f t="shared" si="10"/>
        <v>65.266666666666666</v>
      </c>
      <c r="K111" s="5">
        <f t="shared" si="11"/>
        <v>1958</v>
      </c>
      <c r="L111" t="s">
        <v>18</v>
      </c>
    </row>
    <row r="112" spans="1:12" x14ac:dyDescent="0.3">
      <c r="A112" s="2">
        <v>45402</v>
      </c>
      <c r="B112">
        <f t="shared" si="6"/>
        <v>4</v>
      </c>
      <c r="C112" t="str">
        <f t="shared" si="7"/>
        <v>April</v>
      </c>
      <c r="D112" t="str">
        <f t="shared" si="8"/>
        <v>Saturday</v>
      </c>
      <c r="E112" t="s">
        <v>13</v>
      </c>
      <c r="F112">
        <v>30</v>
      </c>
      <c r="G112">
        <v>23</v>
      </c>
      <c r="H112" s="3">
        <f t="shared" si="9"/>
        <v>0.76666666666666672</v>
      </c>
      <c r="I112" s="4">
        <v>89</v>
      </c>
      <c r="J112" s="5">
        <f t="shared" si="10"/>
        <v>68.233333333333334</v>
      </c>
      <c r="K112" s="5">
        <f t="shared" si="11"/>
        <v>2047</v>
      </c>
      <c r="L112" t="s">
        <v>18</v>
      </c>
    </row>
    <row r="113" spans="1:12" x14ac:dyDescent="0.3">
      <c r="A113" s="2">
        <v>45403</v>
      </c>
      <c r="B113">
        <f t="shared" si="6"/>
        <v>4</v>
      </c>
      <c r="C113" t="str">
        <f t="shared" si="7"/>
        <v>April</v>
      </c>
      <c r="D113" t="str">
        <f t="shared" si="8"/>
        <v>Sunday</v>
      </c>
      <c r="E113" t="s">
        <v>13</v>
      </c>
      <c r="F113">
        <v>30</v>
      </c>
      <c r="G113">
        <v>29</v>
      </c>
      <c r="H113" s="3">
        <f t="shared" si="9"/>
        <v>0.96666666666666667</v>
      </c>
      <c r="I113" s="4">
        <v>89</v>
      </c>
      <c r="J113" s="5">
        <f t="shared" si="10"/>
        <v>86.033333333333331</v>
      </c>
      <c r="K113" s="5">
        <f t="shared" si="11"/>
        <v>2581</v>
      </c>
      <c r="L113" t="s">
        <v>18</v>
      </c>
    </row>
    <row r="114" spans="1:12" x14ac:dyDescent="0.3">
      <c r="A114" s="2">
        <v>45404</v>
      </c>
      <c r="B114">
        <f t="shared" si="6"/>
        <v>4</v>
      </c>
      <c r="C114" t="str">
        <f t="shared" si="7"/>
        <v>April</v>
      </c>
      <c r="D114" t="str">
        <f t="shared" si="8"/>
        <v>Monday</v>
      </c>
      <c r="E114" t="s">
        <v>13</v>
      </c>
      <c r="F114">
        <v>30</v>
      </c>
      <c r="G114">
        <v>26</v>
      </c>
      <c r="H114" s="3">
        <f t="shared" si="9"/>
        <v>0.8666666666666667</v>
      </c>
      <c r="I114" s="4">
        <v>89</v>
      </c>
      <c r="J114" s="5">
        <f t="shared" si="10"/>
        <v>77.13333333333334</v>
      </c>
      <c r="K114" s="5">
        <f t="shared" si="11"/>
        <v>2314</v>
      </c>
      <c r="L114" t="s">
        <v>18</v>
      </c>
    </row>
    <row r="115" spans="1:12" x14ac:dyDescent="0.3">
      <c r="A115" s="2">
        <v>45405</v>
      </c>
      <c r="B115">
        <f t="shared" si="6"/>
        <v>4</v>
      </c>
      <c r="C115" t="str">
        <f t="shared" si="7"/>
        <v>April</v>
      </c>
      <c r="D115" t="str">
        <f t="shared" si="8"/>
        <v>Tuesday</v>
      </c>
      <c r="E115" t="s">
        <v>12</v>
      </c>
      <c r="F115">
        <v>40</v>
      </c>
      <c r="G115">
        <v>30</v>
      </c>
      <c r="H115" s="3">
        <f t="shared" si="9"/>
        <v>0.75</v>
      </c>
      <c r="I115" s="4">
        <v>89</v>
      </c>
      <c r="J115" s="5">
        <f t="shared" si="10"/>
        <v>66.75</v>
      </c>
      <c r="K115" s="5">
        <f t="shared" si="11"/>
        <v>2670</v>
      </c>
      <c r="L115" t="s">
        <v>18</v>
      </c>
    </row>
    <row r="116" spans="1:12" x14ac:dyDescent="0.3">
      <c r="A116" s="2">
        <v>45406</v>
      </c>
      <c r="B116">
        <f t="shared" si="6"/>
        <v>4</v>
      </c>
      <c r="C116" t="str">
        <f t="shared" si="7"/>
        <v>April</v>
      </c>
      <c r="D116" t="str">
        <f t="shared" si="8"/>
        <v>Wednesday</v>
      </c>
      <c r="E116" t="s">
        <v>12</v>
      </c>
      <c r="F116">
        <v>40</v>
      </c>
      <c r="G116">
        <v>37</v>
      </c>
      <c r="H116" s="3">
        <f t="shared" si="9"/>
        <v>0.92500000000000004</v>
      </c>
      <c r="I116" s="4">
        <v>89</v>
      </c>
      <c r="J116" s="5">
        <f t="shared" si="10"/>
        <v>82.325000000000003</v>
      </c>
      <c r="K116" s="5">
        <f t="shared" si="11"/>
        <v>3293</v>
      </c>
      <c r="L116" t="s">
        <v>18</v>
      </c>
    </row>
    <row r="117" spans="1:12" x14ac:dyDescent="0.3">
      <c r="A117" s="2">
        <v>45407</v>
      </c>
      <c r="B117">
        <f t="shared" si="6"/>
        <v>4</v>
      </c>
      <c r="C117" t="str">
        <f t="shared" si="7"/>
        <v>April</v>
      </c>
      <c r="D117" t="str">
        <f t="shared" si="8"/>
        <v>Thursday</v>
      </c>
      <c r="E117" t="s">
        <v>12</v>
      </c>
      <c r="F117">
        <v>40</v>
      </c>
      <c r="G117">
        <v>31</v>
      </c>
      <c r="H117" s="3">
        <f t="shared" si="9"/>
        <v>0.77500000000000002</v>
      </c>
      <c r="I117" s="4">
        <v>89</v>
      </c>
      <c r="J117" s="5">
        <f t="shared" si="10"/>
        <v>68.975000000000009</v>
      </c>
      <c r="K117" s="5">
        <f t="shared" si="11"/>
        <v>2759</v>
      </c>
      <c r="L117" t="s">
        <v>18</v>
      </c>
    </row>
    <row r="118" spans="1:12" x14ac:dyDescent="0.3">
      <c r="A118" s="2">
        <v>45408</v>
      </c>
      <c r="B118">
        <f t="shared" si="6"/>
        <v>4</v>
      </c>
      <c r="C118" t="str">
        <f t="shared" si="7"/>
        <v>April</v>
      </c>
      <c r="D118" t="str">
        <f t="shared" si="8"/>
        <v>Friday</v>
      </c>
      <c r="E118" t="s">
        <v>12</v>
      </c>
      <c r="F118">
        <v>40</v>
      </c>
      <c r="G118">
        <v>29</v>
      </c>
      <c r="H118" s="3">
        <f t="shared" si="9"/>
        <v>0.72499999999999998</v>
      </c>
      <c r="I118" s="4">
        <v>89</v>
      </c>
      <c r="J118" s="5">
        <f t="shared" si="10"/>
        <v>64.524999999999991</v>
      </c>
      <c r="K118" s="5">
        <f t="shared" si="11"/>
        <v>2581</v>
      </c>
      <c r="L118" t="s">
        <v>18</v>
      </c>
    </row>
    <row r="119" spans="1:12" x14ac:dyDescent="0.3">
      <c r="A119" s="2">
        <v>45409</v>
      </c>
      <c r="B119">
        <f t="shared" si="6"/>
        <v>4</v>
      </c>
      <c r="C119" t="str">
        <f t="shared" si="7"/>
        <v>April</v>
      </c>
      <c r="D119" t="str">
        <f t="shared" si="8"/>
        <v>Saturday</v>
      </c>
      <c r="E119" t="s">
        <v>12</v>
      </c>
      <c r="F119">
        <v>40</v>
      </c>
      <c r="G119">
        <v>27</v>
      </c>
      <c r="H119" s="3">
        <f t="shared" si="9"/>
        <v>0.67500000000000004</v>
      </c>
      <c r="I119" s="4">
        <v>89</v>
      </c>
      <c r="J119" s="5">
        <f t="shared" si="10"/>
        <v>60.075000000000003</v>
      </c>
      <c r="K119" s="5">
        <f t="shared" si="11"/>
        <v>2403</v>
      </c>
      <c r="L119" t="s">
        <v>18</v>
      </c>
    </row>
    <row r="120" spans="1:12" x14ac:dyDescent="0.3">
      <c r="A120" s="2">
        <v>45410</v>
      </c>
      <c r="B120">
        <f t="shared" si="6"/>
        <v>4</v>
      </c>
      <c r="C120" t="str">
        <f t="shared" si="7"/>
        <v>April</v>
      </c>
      <c r="D120" t="str">
        <f t="shared" si="8"/>
        <v>Sunday</v>
      </c>
      <c r="E120" t="s">
        <v>12</v>
      </c>
      <c r="F120">
        <v>40</v>
      </c>
      <c r="G120">
        <v>24</v>
      </c>
      <c r="H120" s="3">
        <f t="shared" si="9"/>
        <v>0.6</v>
      </c>
      <c r="I120" s="4">
        <v>89</v>
      </c>
      <c r="J120" s="5">
        <f t="shared" si="10"/>
        <v>53.4</v>
      </c>
      <c r="K120" s="5">
        <f t="shared" si="11"/>
        <v>2136</v>
      </c>
      <c r="L120" t="s">
        <v>18</v>
      </c>
    </row>
    <row r="121" spans="1:12" x14ac:dyDescent="0.3">
      <c r="A121" s="2">
        <v>45411</v>
      </c>
      <c r="B121">
        <f t="shared" si="6"/>
        <v>4</v>
      </c>
      <c r="C121" t="str">
        <f t="shared" si="7"/>
        <v>April</v>
      </c>
      <c r="D121" t="str">
        <f t="shared" si="8"/>
        <v>Monday</v>
      </c>
      <c r="E121" t="s">
        <v>12</v>
      </c>
      <c r="F121">
        <v>40</v>
      </c>
      <c r="G121">
        <v>28</v>
      </c>
      <c r="H121" s="3">
        <f t="shared" si="9"/>
        <v>0.7</v>
      </c>
      <c r="I121" s="4">
        <v>89</v>
      </c>
      <c r="J121" s="5">
        <f t="shared" si="10"/>
        <v>62.3</v>
      </c>
      <c r="K121" s="5">
        <f t="shared" si="11"/>
        <v>2492</v>
      </c>
      <c r="L121" t="s">
        <v>18</v>
      </c>
    </row>
    <row r="122" spans="1:12" x14ac:dyDescent="0.3">
      <c r="A122" s="2">
        <v>45412</v>
      </c>
      <c r="B122">
        <f t="shared" si="6"/>
        <v>4</v>
      </c>
      <c r="C122" t="str">
        <f t="shared" si="7"/>
        <v>April</v>
      </c>
      <c r="D122" t="str">
        <f t="shared" si="8"/>
        <v>Tuesday</v>
      </c>
      <c r="E122" t="s">
        <v>12</v>
      </c>
      <c r="F122">
        <v>40</v>
      </c>
      <c r="G122">
        <v>33</v>
      </c>
      <c r="H122" s="3">
        <f t="shared" si="9"/>
        <v>0.82499999999999996</v>
      </c>
      <c r="I122" s="4">
        <v>89</v>
      </c>
      <c r="J122" s="5">
        <f t="shared" si="10"/>
        <v>73.424999999999997</v>
      </c>
      <c r="K122" s="5">
        <f t="shared" si="11"/>
        <v>2937</v>
      </c>
      <c r="L122" t="s">
        <v>18</v>
      </c>
    </row>
    <row r="123" spans="1:12" x14ac:dyDescent="0.3">
      <c r="A123" s="2">
        <v>45413</v>
      </c>
      <c r="B123">
        <f t="shared" si="6"/>
        <v>5</v>
      </c>
      <c r="C123" t="str">
        <f t="shared" si="7"/>
        <v>May</v>
      </c>
      <c r="D123" t="str">
        <f t="shared" si="8"/>
        <v>Wednesday</v>
      </c>
      <c r="E123" t="s">
        <v>12</v>
      </c>
      <c r="F123">
        <v>40</v>
      </c>
      <c r="G123">
        <v>36</v>
      </c>
      <c r="H123" s="3">
        <f t="shared" si="9"/>
        <v>0.9</v>
      </c>
      <c r="I123" s="4">
        <v>89</v>
      </c>
      <c r="J123" s="5">
        <f t="shared" si="10"/>
        <v>80.100000000000009</v>
      </c>
      <c r="K123" s="5">
        <f t="shared" si="11"/>
        <v>3204</v>
      </c>
      <c r="L123" t="s">
        <v>18</v>
      </c>
    </row>
    <row r="124" spans="1:12" x14ac:dyDescent="0.3">
      <c r="A124" s="2">
        <v>45414</v>
      </c>
      <c r="B124">
        <f t="shared" si="6"/>
        <v>5</v>
      </c>
      <c r="C124" t="str">
        <f t="shared" si="7"/>
        <v>May</v>
      </c>
      <c r="D124" t="str">
        <f t="shared" si="8"/>
        <v>Thursday</v>
      </c>
      <c r="E124" t="s">
        <v>14</v>
      </c>
      <c r="F124">
        <v>15</v>
      </c>
      <c r="G124">
        <v>12</v>
      </c>
      <c r="H124" s="3">
        <f t="shared" si="9"/>
        <v>0.8</v>
      </c>
      <c r="I124" s="4">
        <v>89</v>
      </c>
      <c r="J124" s="5">
        <f t="shared" si="10"/>
        <v>71.2</v>
      </c>
      <c r="K124" s="5">
        <f t="shared" si="11"/>
        <v>1068</v>
      </c>
      <c r="L124" t="s">
        <v>18</v>
      </c>
    </row>
    <row r="125" spans="1:12" x14ac:dyDescent="0.3">
      <c r="A125" s="2">
        <v>45415</v>
      </c>
      <c r="B125">
        <f t="shared" si="6"/>
        <v>5</v>
      </c>
      <c r="C125" t="str">
        <f t="shared" si="7"/>
        <v>May</v>
      </c>
      <c r="D125" t="str">
        <f t="shared" si="8"/>
        <v>Friday</v>
      </c>
      <c r="E125" t="s">
        <v>14</v>
      </c>
      <c r="F125">
        <v>15</v>
      </c>
      <c r="G125">
        <v>11</v>
      </c>
      <c r="H125" s="3">
        <f t="shared" si="9"/>
        <v>0.73333333333333328</v>
      </c>
      <c r="I125" s="4">
        <v>89</v>
      </c>
      <c r="J125" s="5">
        <f t="shared" si="10"/>
        <v>65.266666666666666</v>
      </c>
      <c r="K125" s="5">
        <f t="shared" si="11"/>
        <v>979</v>
      </c>
      <c r="L125" t="s">
        <v>18</v>
      </c>
    </row>
    <row r="126" spans="1:12" x14ac:dyDescent="0.3">
      <c r="A126" s="2">
        <v>45416</v>
      </c>
      <c r="B126">
        <f t="shared" si="6"/>
        <v>5</v>
      </c>
      <c r="C126" t="str">
        <f t="shared" si="7"/>
        <v>May</v>
      </c>
      <c r="D126" t="str">
        <f t="shared" si="8"/>
        <v>Saturday</v>
      </c>
      <c r="E126" t="s">
        <v>14</v>
      </c>
      <c r="F126">
        <v>15</v>
      </c>
      <c r="G126">
        <v>13</v>
      </c>
      <c r="H126" s="3">
        <f t="shared" si="9"/>
        <v>0.8666666666666667</v>
      </c>
      <c r="I126" s="4">
        <v>89</v>
      </c>
      <c r="J126" s="5">
        <f t="shared" si="10"/>
        <v>77.13333333333334</v>
      </c>
      <c r="K126" s="5">
        <f t="shared" si="11"/>
        <v>1157</v>
      </c>
      <c r="L126" t="s">
        <v>18</v>
      </c>
    </row>
    <row r="127" spans="1:12" x14ac:dyDescent="0.3">
      <c r="A127" s="2">
        <v>45417</v>
      </c>
      <c r="B127">
        <f t="shared" si="6"/>
        <v>5</v>
      </c>
      <c r="C127" t="str">
        <f t="shared" si="7"/>
        <v>May</v>
      </c>
      <c r="D127" t="str">
        <f t="shared" si="8"/>
        <v>Sunday</v>
      </c>
      <c r="E127" t="s">
        <v>14</v>
      </c>
      <c r="F127">
        <v>15</v>
      </c>
      <c r="G127">
        <v>13</v>
      </c>
      <c r="H127" s="3">
        <f t="shared" si="9"/>
        <v>0.8666666666666667</v>
      </c>
      <c r="I127" s="4">
        <v>89</v>
      </c>
      <c r="J127" s="5">
        <f t="shared" si="10"/>
        <v>77.13333333333334</v>
      </c>
      <c r="K127" s="5">
        <f t="shared" si="11"/>
        <v>1157</v>
      </c>
      <c r="L127" t="s">
        <v>18</v>
      </c>
    </row>
    <row r="128" spans="1:12" x14ac:dyDescent="0.3">
      <c r="A128" s="2">
        <v>45418</v>
      </c>
      <c r="B128">
        <f t="shared" si="6"/>
        <v>5</v>
      </c>
      <c r="C128" t="str">
        <f t="shared" si="7"/>
        <v>May</v>
      </c>
      <c r="D128" t="str">
        <f t="shared" si="8"/>
        <v>Monday</v>
      </c>
      <c r="E128" t="s">
        <v>14</v>
      </c>
      <c r="F128">
        <v>15</v>
      </c>
      <c r="G128">
        <v>13</v>
      </c>
      <c r="H128" s="3">
        <f t="shared" si="9"/>
        <v>0.8666666666666667</v>
      </c>
      <c r="I128" s="4">
        <v>89</v>
      </c>
      <c r="J128" s="5">
        <f t="shared" si="10"/>
        <v>77.13333333333334</v>
      </c>
      <c r="K128" s="5">
        <f t="shared" si="11"/>
        <v>1157</v>
      </c>
      <c r="L128" t="s">
        <v>18</v>
      </c>
    </row>
    <row r="129" spans="1:12" x14ac:dyDescent="0.3">
      <c r="A129" s="2">
        <v>45419</v>
      </c>
      <c r="B129">
        <f t="shared" si="6"/>
        <v>5</v>
      </c>
      <c r="C129" t="str">
        <f t="shared" si="7"/>
        <v>May</v>
      </c>
      <c r="D129" t="str">
        <f t="shared" si="8"/>
        <v>Tuesday</v>
      </c>
      <c r="E129" t="s">
        <v>14</v>
      </c>
      <c r="F129">
        <v>15</v>
      </c>
      <c r="G129">
        <v>12</v>
      </c>
      <c r="H129" s="3">
        <f t="shared" si="9"/>
        <v>0.8</v>
      </c>
      <c r="I129" s="4">
        <v>89</v>
      </c>
      <c r="J129" s="5">
        <f t="shared" si="10"/>
        <v>71.2</v>
      </c>
      <c r="K129" s="5">
        <f t="shared" si="11"/>
        <v>1068</v>
      </c>
      <c r="L129" t="s">
        <v>18</v>
      </c>
    </row>
    <row r="130" spans="1:12" x14ac:dyDescent="0.3">
      <c r="A130" s="2">
        <v>45420</v>
      </c>
      <c r="B130">
        <f t="shared" si="6"/>
        <v>5</v>
      </c>
      <c r="C130" t="str">
        <f t="shared" si="7"/>
        <v>May</v>
      </c>
      <c r="D130" t="str">
        <f t="shared" si="8"/>
        <v>Wednesday</v>
      </c>
      <c r="E130" t="s">
        <v>14</v>
      </c>
      <c r="F130">
        <v>15</v>
      </c>
      <c r="G130">
        <v>12</v>
      </c>
      <c r="H130" s="3">
        <f t="shared" si="9"/>
        <v>0.8</v>
      </c>
      <c r="I130" s="4">
        <v>89</v>
      </c>
      <c r="J130" s="5">
        <f t="shared" si="10"/>
        <v>71.2</v>
      </c>
      <c r="K130" s="5">
        <f t="shared" si="11"/>
        <v>1068</v>
      </c>
      <c r="L130" t="s">
        <v>18</v>
      </c>
    </row>
    <row r="131" spans="1:12" x14ac:dyDescent="0.3">
      <c r="A131" s="2">
        <v>45421</v>
      </c>
      <c r="B131">
        <f t="shared" ref="B131:B194" si="12">MONTH(A131)</f>
        <v>5</v>
      </c>
      <c r="C131" t="str">
        <f t="shared" ref="C131:C194" si="13">TEXT(A131,"MMMM")</f>
        <v>May</v>
      </c>
      <c r="D131" t="str">
        <f t="shared" ref="D131:D194" si="14">TEXT(A131,"dddd")</f>
        <v>Thursday</v>
      </c>
      <c r="E131" t="s">
        <v>14</v>
      </c>
      <c r="F131">
        <v>15</v>
      </c>
      <c r="G131">
        <v>12</v>
      </c>
      <c r="H131" s="3">
        <f t="shared" ref="H131:H194" si="15">G131/F131</f>
        <v>0.8</v>
      </c>
      <c r="I131" s="4">
        <v>89</v>
      </c>
      <c r="J131" s="5">
        <f t="shared" ref="J131:J194" si="16">I131*H131</f>
        <v>71.2</v>
      </c>
      <c r="K131" s="5">
        <f t="shared" ref="K131:K194" si="17">I131*G131</f>
        <v>1068</v>
      </c>
      <c r="L131" t="s">
        <v>18</v>
      </c>
    </row>
    <row r="132" spans="1:12" x14ac:dyDescent="0.3">
      <c r="A132" s="2">
        <v>45422</v>
      </c>
      <c r="B132">
        <f t="shared" si="12"/>
        <v>5</v>
      </c>
      <c r="C132" t="str">
        <f t="shared" si="13"/>
        <v>May</v>
      </c>
      <c r="D132" t="str">
        <f t="shared" si="14"/>
        <v>Friday</v>
      </c>
      <c r="E132" t="s">
        <v>12</v>
      </c>
      <c r="F132">
        <v>40</v>
      </c>
      <c r="G132">
        <v>35</v>
      </c>
      <c r="H132" s="3">
        <f t="shared" si="15"/>
        <v>0.875</v>
      </c>
      <c r="I132" s="4">
        <v>89</v>
      </c>
      <c r="J132" s="5">
        <f t="shared" si="16"/>
        <v>77.875</v>
      </c>
      <c r="K132" s="5">
        <f t="shared" si="17"/>
        <v>3115</v>
      </c>
      <c r="L132" t="s">
        <v>18</v>
      </c>
    </row>
    <row r="133" spans="1:12" x14ac:dyDescent="0.3">
      <c r="A133" s="2">
        <v>45423</v>
      </c>
      <c r="B133">
        <f t="shared" si="12"/>
        <v>5</v>
      </c>
      <c r="C133" t="str">
        <f t="shared" si="13"/>
        <v>May</v>
      </c>
      <c r="D133" t="str">
        <f t="shared" si="14"/>
        <v>Saturday</v>
      </c>
      <c r="E133" t="s">
        <v>12</v>
      </c>
      <c r="F133">
        <v>40</v>
      </c>
      <c r="G133">
        <v>25</v>
      </c>
      <c r="H133" s="3">
        <f t="shared" si="15"/>
        <v>0.625</v>
      </c>
      <c r="I133" s="4">
        <v>89</v>
      </c>
      <c r="J133" s="5">
        <f t="shared" si="16"/>
        <v>55.625</v>
      </c>
      <c r="K133" s="5">
        <f t="shared" si="17"/>
        <v>2225</v>
      </c>
      <c r="L133" t="s">
        <v>18</v>
      </c>
    </row>
    <row r="134" spans="1:12" x14ac:dyDescent="0.3">
      <c r="A134" s="2">
        <v>45424</v>
      </c>
      <c r="B134">
        <f t="shared" si="12"/>
        <v>5</v>
      </c>
      <c r="C134" t="str">
        <f t="shared" si="13"/>
        <v>May</v>
      </c>
      <c r="D134" t="str">
        <f t="shared" si="14"/>
        <v>Sunday</v>
      </c>
      <c r="E134" t="s">
        <v>12</v>
      </c>
      <c r="F134">
        <v>40</v>
      </c>
      <c r="G134">
        <v>28</v>
      </c>
      <c r="H134" s="3">
        <f t="shared" si="15"/>
        <v>0.7</v>
      </c>
      <c r="I134" s="4">
        <v>89</v>
      </c>
      <c r="J134" s="5">
        <f t="shared" si="16"/>
        <v>62.3</v>
      </c>
      <c r="K134" s="5">
        <f t="shared" si="17"/>
        <v>2492</v>
      </c>
      <c r="L134" t="s">
        <v>18</v>
      </c>
    </row>
    <row r="135" spans="1:12" x14ac:dyDescent="0.3">
      <c r="A135" s="2">
        <v>45425</v>
      </c>
      <c r="B135">
        <f t="shared" si="12"/>
        <v>5</v>
      </c>
      <c r="C135" t="str">
        <f t="shared" si="13"/>
        <v>May</v>
      </c>
      <c r="D135" t="str">
        <f t="shared" si="14"/>
        <v>Monday</v>
      </c>
      <c r="E135" t="s">
        <v>12</v>
      </c>
      <c r="F135">
        <v>40</v>
      </c>
      <c r="G135">
        <v>28</v>
      </c>
      <c r="H135" s="3">
        <f t="shared" si="15"/>
        <v>0.7</v>
      </c>
      <c r="I135" s="4">
        <v>89</v>
      </c>
      <c r="J135" s="5">
        <f t="shared" si="16"/>
        <v>62.3</v>
      </c>
      <c r="K135" s="5">
        <f t="shared" si="17"/>
        <v>2492</v>
      </c>
      <c r="L135" t="s">
        <v>18</v>
      </c>
    </row>
    <row r="136" spans="1:12" x14ac:dyDescent="0.3">
      <c r="A136" s="2">
        <v>45426</v>
      </c>
      <c r="B136">
        <f t="shared" si="12"/>
        <v>5</v>
      </c>
      <c r="C136" t="str">
        <f t="shared" si="13"/>
        <v>May</v>
      </c>
      <c r="D136" t="str">
        <f t="shared" si="14"/>
        <v>Tuesday</v>
      </c>
      <c r="E136" t="s">
        <v>12</v>
      </c>
      <c r="F136">
        <v>40</v>
      </c>
      <c r="G136">
        <v>26</v>
      </c>
      <c r="H136" s="3">
        <f t="shared" si="15"/>
        <v>0.65</v>
      </c>
      <c r="I136" s="4">
        <v>89</v>
      </c>
      <c r="J136" s="5">
        <f t="shared" si="16"/>
        <v>57.85</v>
      </c>
      <c r="K136" s="5">
        <f t="shared" si="17"/>
        <v>2314</v>
      </c>
      <c r="L136" t="s">
        <v>18</v>
      </c>
    </row>
    <row r="137" spans="1:12" x14ac:dyDescent="0.3">
      <c r="A137" s="2">
        <v>45427</v>
      </c>
      <c r="B137">
        <f t="shared" si="12"/>
        <v>5</v>
      </c>
      <c r="C137" t="str">
        <f t="shared" si="13"/>
        <v>May</v>
      </c>
      <c r="D137" t="str">
        <f t="shared" si="14"/>
        <v>Wednesday</v>
      </c>
      <c r="E137" t="s">
        <v>12</v>
      </c>
      <c r="F137">
        <v>40</v>
      </c>
      <c r="G137">
        <v>38</v>
      </c>
      <c r="H137" s="3">
        <f t="shared" si="15"/>
        <v>0.95</v>
      </c>
      <c r="I137" s="4">
        <v>89</v>
      </c>
      <c r="J137" s="5">
        <f t="shared" si="16"/>
        <v>84.55</v>
      </c>
      <c r="K137" s="5">
        <f t="shared" si="17"/>
        <v>3382</v>
      </c>
      <c r="L137" t="s">
        <v>18</v>
      </c>
    </row>
    <row r="138" spans="1:12" x14ac:dyDescent="0.3">
      <c r="A138" s="2">
        <v>45428</v>
      </c>
      <c r="B138">
        <f t="shared" si="12"/>
        <v>5</v>
      </c>
      <c r="C138" t="str">
        <f t="shared" si="13"/>
        <v>May</v>
      </c>
      <c r="D138" t="str">
        <f t="shared" si="14"/>
        <v>Thursday</v>
      </c>
      <c r="E138" t="s">
        <v>16</v>
      </c>
      <c r="F138">
        <v>5</v>
      </c>
      <c r="G138">
        <v>5</v>
      </c>
      <c r="H138" s="3">
        <f t="shared" si="15"/>
        <v>1</v>
      </c>
      <c r="I138" s="4">
        <v>89</v>
      </c>
      <c r="J138" s="5">
        <f t="shared" si="16"/>
        <v>89</v>
      </c>
      <c r="K138" s="5">
        <f t="shared" si="17"/>
        <v>445</v>
      </c>
      <c r="L138" t="s">
        <v>18</v>
      </c>
    </row>
    <row r="139" spans="1:12" x14ac:dyDescent="0.3">
      <c r="A139" s="2">
        <v>45429</v>
      </c>
      <c r="B139">
        <f t="shared" si="12"/>
        <v>5</v>
      </c>
      <c r="C139" t="str">
        <f t="shared" si="13"/>
        <v>May</v>
      </c>
      <c r="D139" t="str">
        <f t="shared" si="14"/>
        <v>Friday</v>
      </c>
      <c r="E139" t="s">
        <v>16</v>
      </c>
      <c r="F139">
        <v>5</v>
      </c>
      <c r="G139">
        <v>4</v>
      </c>
      <c r="H139" s="3">
        <f t="shared" si="15"/>
        <v>0.8</v>
      </c>
      <c r="I139" s="4">
        <v>89</v>
      </c>
      <c r="J139" s="5">
        <f t="shared" si="16"/>
        <v>71.2</v>
      </c>
      <c r="K139" s="5">
        <f t="shared" si="17"/>
        <v>356</v>
      </c>
      <c r="L139" t="s">
        <v>18</v>
      </c>
    </row>
    <row r="140" spans="1:12" x14ac:dyDescent="0.3">
      <c r="A140" s="2">
        <v>45430</v>
      </c>
      <c r="B140">
        <f t="shared" si="12"/>
        <v>5</v>
      </c>
      <c r="C140" t="str">
        <f t="shared" si="13"/>
        <v>May</v>
      </c>
      <c r="D140" t="str">
        <f t="shared" si="14"/>
        <v>Saturday</v>
      </c>
      <c r="E140" t="s">
        <v>16</v>
      </c>
      <c r="F140">
        <v>5</v>
      </c>
      <c r="G140">
        <v>5</v>
      </c>
      <c r="H140" s="3">
        <f t="shared" si="15"/>
        <v>1</v>
      </c>
      <c r="I140" s="4">
        <v>89</v>
      </c>
      <c r="J140" s="5">
        <f t="shared" si="16"/>
        <v>89</v>
      </c>
      <c r="K140" s="5">
        <f t="shared" si="17"/>
        <v>445</v>
      </c>
      <c r="L140" t="s">
        <v>18</v>
      </c>
    </row>
    <row r="141" spans="1:12" x14ac:dyDescent="0.3">
      <c r="A141" s="2">
        <v>45431</v>
      </c>
      <c r="B141">
        <f t="shared" si="12"/>
        <v>5</v>
      </c>
      <c r="C141" t="str">
        <f t="shared" si="13"/>
        <v>May</v>
      </c>
      <c r="D141" t="str">
        <f t="shared" si="14"/>
        <v>Sunday</v>
      </c>
      <c r="E141" t="s">
        <v>16</v>
      </c>
      <c r="F141">
        <v>5</v>
      </c>
      <c r="G141">
        <v>3</v>
      </c>
      <c r="H141" s="3">
        <f t="shared" si="15"/>
        <v>0.6</v>
      </c>
      <c r="I141" s="4">
        <v>89</v>
      </c>
      <c r="J141" s="5">
        <f t="shared" si="16"/>
        <v>53.4</v>
      </c>
      <c r="K141" s="5">
        <f t="shared" si="17"/>
        <v>267</v>
      </c>
      <c r="L141" t="s">
        <v>18</v>
      </c>
    </row>
    <row r="142" spans="1:12" x14ac:dyDescent="0.3">
      <c r="A142" s="2">
        <v>45432</v>
      </c>
      <c r="B142">
        <f t="shared" si="12"/>
        <v>5</v>
      </c>
      <c r="C142" t="str">
        <f t="shared" si="13"/>
        <v>May</v>
      </c>
      <c r="D142" t="str">
        <f t="shared" si="14"/>
        <v>Monday</v>
      </c>
      <c r="E142" t="s">
        <v>16</v>
      </c>
      <c r="F142">
        <v>5</v>
      </c>
      <c r="G142">
        <v>3</v>
      </c>
      <c r="H142" s="3">
        <f t="shared" si="15"/>
        <v>0.6</v>
      </c>
      <c r="I142" s="4">
        <v>89</v>
      </c>
      <c r="J142" s="5">
        <f t="shared" si="16"/>
        <v>53.4</v>
      </c>
      <c r="K142" s="5">
        <f t="shared" si="17"/>
        <v>267</v>
      </c>
      <c r="L142" t="s">
        <v>18</v>
      </c>
    </row>
    <row r="143" spans="1:12" x14ac:dyDescent="0.3">
      <c r="A143" s="2">
        <v>45433</v>
      </c>
      <c r="B143">
        <f t="shared" si="12"/>
        <v>5</v>
      </c>
      <c r="C143" t="str">
        <f t="shared" si="13"/>
        <v>May</v>
      </c>
      <c r="D143" t="str">
        <f t="shared" si="14"/>
        <v>Tuesday</v>
      </c>
      <c r="E143" t="s">
        <v>16</v>
      </c>
      <c r="F143">
        <v>5</v>
      </c>
      <c r="G143">
        <v>3</v>
      </c>
      <c r="H143" s="3">
        <f t="shared" si="15"/>
        <v>0.6</v>
      </c>
      <c r="I143" s="4">
        <v>89</v>
      </c>
      <c r="J143" s="5">
        <f t="shared" si="16"/>
        <v>53.4</v>
      </c>
      <c r="K143" s="5">
        <f t="shared" si="17"/>
        <v>267</v>
      </c>
      <c r="L143" t="s">
        <v>18</v>
      </c>
    </row>
    <row r="144" spans="1:12" x14ac:dyDescent="0.3">
      <c r="A144" s="2">
        <v>45434</v>
      </c>
      <c r="B144">
        <f t="shared" si="12"/>
        <v>5</v>
      </c>
      <c r="C144" t="str">
        <f t="shared" si="13"/>
        <v>May</v>
      </c>
      <c r="D144" t="str">
        <f t="shared" si="14"/>
        <v>Wednesday</v>
      </c>
      <c r="E144" t="s">
        <v>16</v>
      </c>
      <c r="F144">
        <v>5</v>
      </c>
      <c r="G144">
        <v>3</v>
      </c>
      <c r="H144" s="3">
        <f t="shared" si="15"/>
        <v>0.6</v>
      </c>
      <c r="I144" s="4">
        <v>89</v>
      </c>
      <c r="J144" s="5">
        <f t="shared" si="16"/>
        <v>53.4</v>
      </c>
      <c r="K144" s="5">
        <f t="shared" si="17"/>
        <v>267</v>
      </c>
      <c r="L144" t="s">
        <v>18</v>
      </c>
    </row>
    <row r="145" spans="1:12" x14ac:dyDescent="0.3">
      <c r="A145" s="2">
        <v>45435</v>
      </c>
      <c r="B145">
        <f t="shared" si="12"/>
        <v>5</v>
      </c>
      <c r="C145" t="str">
        <f t="shared" si="13"/>
        <v>May</v>
      </c>
      <c r="D145" t="str">
        <f t="shared" si="14"/>
        <v>Thursday</v>
      </c>
      <c r="E145" t="s">
        <v>16</v>
      </c>
      <c r="F145">
        <v>5</v>
      </c>
      <c r="G145">
        <v>5</v>
      </c>
      <c r="H145" s="3">
        <f t="shared" si="15"/>
        <v>1</v>
      </c>
      <c r="I145" s="4">
        <v>89</v>
      </c>
      <c r="J145" s="5">
        <f t="shared" si="16"/>
        <v>89</v>
      </c>
      <c r="K145" s="5">
        <f t="shared" si="17"/>
        <v>445</v>
      </c>
      <c r="L145" t="s">
        <v>18</v>
      </c>
    </row>
    <row r="146" spans="1:12" x14ac:dyDescent="0.3">
      <c r="A146" s="2">
        <v>45436</v>
      </c>
      <c r="B146">
        <f t="shared" si="12"/>
        <v>5</v>
      </c>
      <c r="C146" t="str">
        <f t="shared" si="13"/>
        <v>May</v>
      </c>
      <c r="D146" t="str">
        <f t="shared" si="14"/>
        <v>Friday</v>
      </c>
      <c r="E146" t="s">
        <v>16</v>
      </c>
      <c r="F146">
        <v>5</v>
      </c>
      <c r="G146">
        <v>4</v>
      </c>
      <c r="H146" s="3">
        <f t="shared" si="15"/>
        <v>0.8</v>
      </c>
      <c r="I146" s="4">
        <v>89</v>
      </c>
      <c r="J146" s="5">
        <f t="shared" si="16"/>
        <v>71.2</v>
      </c>
      <c r="K146" s="5">
        <f t="shared" si="17"/>
        <v>356</v>
      </c>
      <c r="L146" t="s">
        <v>18</v>
      </c>
    </row>
    <row r="147" spans="1:12" x14ac:dyDescent="0.3">
      <c r="A147" s="2">
        <v>45437</v>
      </c>
      <c r="B147">
        <f t="shared" si="12"/>
        <v>5</v>
      </c>
      <c r="C147" t="str">
        <f t="shared" si="13"/>
        <v>May</v>
      </c>
      <c r="D147" t="str">
        <f t="shared" si="14"/>
        <v>Saturday</v>
      </c>
      <c r="E147" t="s">
        <v>12</v>
      </c>
      <c r="F147">
        <v>40</v>
      </c>
      <c r="G147">
        <v>28</v>
      </c>
      <c r="H147" s="3">
        <f t="shared" si="15"/>
        <v>0.7</v>
      </c>
      <c r="I147" s="4">
        <v>89</v>
      </c>
      <c r="J147" s="5">
        <f t="shared" si="16"/>
        <v>62.3</v>
      </c>
      <c r="K147" s="5">
        <f t="shared" si="17"/>
        <v>2492</v>
      </c>
      <c r="L147" t="s">
        <v>18</v>
      </c>
    </row>
    <row r="148" spans="1:12" x14ac:dyDescent="0.3">
      <c r="A148" s="2">
        <v>45438</v>
      </c>
      <c r="B148">
        <f t="shared" si="12"/>
        <v>5</v>
      </c>
      <c r="C148" t="str">
        <f t="shared" si="13"/>
        <v>May</v>
      </c>
      <c r="D148" t="str">
        <f t="shared" si="14"/>
        <v>Sunday</v>
      </c>
      <c r="E148" t="s">
        <v>12</v>
      </c>
      <c r="F148">
        <v>40</v>
      </c>
      <c r="G148">
        <v>36</v>
      </c>
      <c r="H148" s="3">
        <f t="shared" si="15"/>
        <v>0.9</v>
      </c>
      <c r="I148" s="4">
        <v>89</v>
      </c>
      <c r="J148" s="5">
        <f t="shared" si="16"/>
        <v>80.100000000000009</v>
      </c>
      <c r="K148" s="5">
        <f t="shared" si="17"/>
        <v>3204</v>
      </c>
      <c r="L148" t="s">
        <v>18</v>
      </c>
    </row>
    <row r="149" spans="1:12" x14ac:dyDescent="0.3">
      <c r="A149" s="2">
        <v>45439</v>
      </c>
      <c r="B149">
        <f t="shared" si="12"/>
        <v>5</v>
      </c>
      <c r="C149" t="str">
        <f t="shared" si="13"/>
        <v>May</v>
      </c>
      <c r="D149" t="str">
        <f t="shared" si="14"/>
        <v>Monday</v>
      </c>
      <c r="E149" t="s">
        <v>12</v>
      </c>
      <c r="F149">
        <v>40</v>
      </c>
      <c r="G149">
        <v>31</v>
      </c>
      <c r="H149" s="3">
        <f t="shared" si="15"/>
        <v>0.77500000000000002</v>
      </c>
      <c r="I149" s="4">
        <v>89</v>
      </c>
      <c r="J149" s="5">
        <f t="shared" si="16"/>
        <v>68.975000000000009</v>
      </c>
      <c r="K149" s="5">
        <f t="shared" si="17"/>
        <v>2759</v>
      </c>
      <c r="L149" t="s">
        <v>18</v>
      </c>
    </row>
    <row r="150" spans="1:12" x14ac:dyDescent="0.3">
      <c r="A150" s="2">
        <v>45440</v>
      </c>
      <c r="B150">
        <f t="shared" si="12"/>
        <v>5</v>
      </c>
      <c r="C150" t="str">
        <f t="shared" si="13"/>
        <v>May</v>
      </c>
      <c r="D150" t="str">
        <f t="shared" si="14"/>
        <v>Tuesday</v>
      </c>
      <c r="E150" t="s">
        <v>13</v>
      </c>
      <c r="F150">
        <v>30</v>
      </c>
      <c r="G150">
        <v>27</v>
      </c>
      <c r="H150" s="3">
        <f t="shared" si="15"/>
        <v>0.9</v>
      </c>
      <c r="I150" s="4">
        <v>89</v>
      </c>
      <c r="J150" s="5">
        <f t="shared" si="16"/>
        <v>80.100000000000009</v>
      </c>
      <c r="K150" s="5">
        <f t="shared" si="17"/>
        <v>2403</v>
      </c>
      <c r="L150" t="s">
        <v>18</v>
      </c>
    </row>
    <row r="151" spans="1:12" x14ac:dyDescent="0.3">
      <c r="A151" s="2">
        <v>45441</v>
      </c>
      <c r="B151">
        <f t="shared" si="12"/>
        <v>5</v>
      </c>
      <c r="C151" t="str">
        <f t="shared" si="13"/>
        <v>May</v>
      </c>
      <c r="D151" t="str">
        <f t="shared" si="14"/>
        <v>Wednesday</v>
      </c>
      <c r="E151" t="s">
        <v>13</v>
      </c>
      <c r="F151">
        <v>30</v>
      </c>
      <c r="G151">
        <v>19</v>
      </c>
      <c r="H151" s="3">
        <f t="shared" si="15"/>
        <v>0.6333333333333333</v>
      </c>
      <c r="I151" s="4">
        <v>89</v>
      </c>
      <c r="J151" s="5">
        <f t="shared" si="16"/>
        <v>56.366666666666667</v>
      </c>
      <c r="K151" s="5">
        <f t="shared" si="17"/>
        <v>1691</v>
      </c>
      <c r="L151" t="s">
        <v>18</v>
      </c>
    </row>
    <row r="152" spans="1:12" x14ac:dyDescent="0.3">
      <c r="A152" s="2">
        <v>45442</v>
      </c>
      <c r="B152">
        <f t="shared" si="12"/>
        <v>5</v>
      </c>
      <c r="C152" t="str">
        <f t="shared" si="13"/>
        <v>May</v>
      </c>
      <c r="D152" t="str">
        <f t="shared" si="14"/>
        <v>Thursday</v>
      </c>
      <c r="E152" t="s">
        <v>13</v>
      </c>
      <c r="F152">
        <v>30</v>
      </c>
      <c r="G152">
        <v>29</v>
      </c>
      <c r="H152" s="3">
        <f t="shared" si="15"/>
        <v>0.96666666666666667</v>
      </c>
      <c r="I152" s="4">
        <v>89</v>
      </c>
      <c r="J152" s="5">
        <f t="shared" si="16"/>
        <v>86.033333333333331</v>
      </c>
      <c r="K152" s="5">
        <f t="shared" si="17"/>
        <v>2581</v>
      </c>
      <c r="L152" t="s">
        <v>18</v>
      </c>
    </row>
    <row r="153" spans="1:12" x14ac:dyDescent="0.3">
      <c r="A153" s="2">
        <v>45443</v>
      </c>
      <c r="B153">
        <f t="shared" si="12"/>
        <v>5</v>
      </c>
      <c r="C153" t="str">
        <f t="shared" si="13"/>
        <v>May</v>
      </c>
      <c r="D153" t="str">
        <f t="shared" si="14"/>
        <v>Friday</v>
      </c>
      <c r="E153" t="s">
        <v>13</v>
      </c>
      <c r="F153">
        <v>30</v>
      </c>
      <c r="G153">
        <v>18</v>
      </c>
      <c r="H153" s="3">
        <f t="shared" si="15"/>
        <v>0.6</v>
      </c>
      <c r="I153" s="4">
        <v>89</v>
      </c>
      <c r="J153" s="5">
        <f t="shared" si="16"/>
        <v>53.4</v>
      </c>
      <c r="K153" s="5">
        <f t="shared" si="17"/>
        <v>1602</v>
      </c>
      <c r="L153" t="s">
        <v>18</v>
      </c>
    </row>
    <row r="154" spans="1:12" x14ac:dyDescent="0.3">
      <c r="A154" s="2">
        <v>45444</v>
      </c>
      <c r="B154">
        <f t="shared" si="12"/>
        <v>6</v>
      </c>
      <c r="C154" t="str">
        <f t="shared" si="13"/>
        <v>June</v>
      </c>
      <c r="D154" t="str">
        <f t="shared" si="14"/>
        <v>Saturday</v>
      </c>
      <c r="E154" t="s">
        <v>13</v>
      </c>
      <c r="F154">
        <v>30</v>
      </c>
      <c r="G154">
        <v>20</v>
      </c>
      <c r="H154" s="3">
        <f t="shared" si="15"/>
        <v>0.66666666666666663</v>
      </c>
      <c r="I154" s="4">
        <v>89</v>
      </c>
      <c r="J154" s="5">
        <f t="shared" si="16"/>
        <v>59.333333333333329</v>
      </c>
      <c r="K154" s="5">
        <f t="shared" si="17"/>
        <v>1780</v>
      </c>
      <c r="L154" t="s">
        <v>18</v>
      </c>
    </row>
    <row r="155" spans="1:12" x14ac:dyDescent="0.3">
      <c r="A155" s="2">
        <v>45445</v>
      </c>
      <c r="B155">
        <f t="shared" si="12"/>
        <v>6</v>
      </c>
      <c r="C155" t="str">
        <f t="shared" si="13"/>
        <v>June</v>
      </c>
      <c r="D155" t="str">
        <f t="shared" si="14"/>
        <v>Sunday</v>
      </c>
      <c r="E155" t="s">
        <v>13</v>
      </c>
      <c r="F155">
        <v>30</v>
      </c>
      <c r="G155">
        <v>23</v>
      </c>
      <c r="H155" s="3">
        <f t="shared" si="15"/>
        <v>0.76666666666666672</v>
      </c>
      <c r="I155" s="4">
        <v>89</v>
      </c>
      <c r="J155" s="5">
        <f t="shared" si="16"/>
        <v>68.233333333333334</v>
      </c>
      <c r="K155" s="5">
        <f t="shared" si="17"/>
        <v>2047</v>
      </c>
      <c r="L155" t="s">
        <v>18</v>
      </c>
    </row>
    <row r="156" spans="1:12" x14ac:dyDescent="0.3">
      <c r="A156" s="2">
        <v>45446</v>
      </c>
      <c r="B156">
        <f t="shared" si="12"/>
        <v>6</v>
      </c>
      <c r="C156" t="str">
        <f t="shared" si="13"/>
        <v>June</v>
      </c>
      <c r="D156" t="str">
        <f t="shared" si="14"/>
        <v>Monday</v>
      </c>
      <c r="E156" t="s">
        <v>13</v>
      </c>
      <c r="F156">
        <v>30</v>
      </c>
      <c r="G156">
        <v>18</v>
      </c>
      <c r="H156" s="3">
        <f t="shared" si="15"/>
        <v>0.6</v>
      </c>
      <c r="I156" s="4">
        <v>89</v>
      </c>
      <c r="J156" s="5">
        <f t="shared" si="16"/>
        <v>53.4</v>
      </c>
      <c r="K156" s="5">
        <f t="shared" si="17"/>
        <v>1602</v>
      </c>
      <c r="L156" t="s">
        <v>18</v>
      </c>
    </row>
    <row r="157" spans="1:12" x14ac:dyDescent="0.3">
      <c r="A157" s="2">
        <v>45447</v>
      </c>
      <c r="B157">
        <f t="shared" si="12"/>
        <v>6</v>
      </c>
      <c r="C157" t="str">
        <f t="shared" si="13"/>
        <v>June</v>
      </c>
      <c r="D157" t="str">
        <f t="shared" si="14"/>
        <v>Tuesday</v>
      </c>
      <c r="E157" t="s">
        <v>13</v>
      </c>
      <c r="F157">
        <v>30</v>
      </c>
      <c r="G157">
        <v>27</v>
      </c>
      <c r="H157" s="3">
        <f t="shared" si="15"/>
        <v>0.9</v>
      </c>
      <c r="I157" s="4">
        <v>89</v>
      </c>
      <c r="J157" s="5">
        <f t="shared" si="16"/>
        <v>80.100000000000009</v>
      </c>
      <c r="K157" s="5">
        <f t="shared" si="17"/>
        <v>2403</v>
      </c>
      <c r="L157" t="s">
        <v>18</v>
      </c>
    </row>
    <row r="158" spans="1:12" x14ac:dyDescent="0.3">
      <c r="A158" s="2">
        <v>45448</v>
      </c>
      <c r="B158">
        <f t="shared" si="12"/>
        <v>6</v>
      </c>
      <c r="C158" t="str">
        <f t="shared" si="13"/>
        <v>June</v>
      </c>
      <c r="D158" t="str">
        <f t="shared" si="14"/>
        <v>Wednesday</v>
      </c>
      <c r="E158" t="s">
        <v>13</v>
      </c>
      <c r="F158">
        <v>30</v>
      </c>
      <c r="G158">
        <v>18</v>
      </c>
      <c r="H158" s="3">
        <f t="shared" si="15"/>
        <v>0.6</v>
      </c>
      <c r="I158" s="4">
        <v>89</v>
      </c>
      <c r="J158" s="5">
        <f t="shared" si="16"/>
        <v>53.4</v>
      </c>
      <c r="K158" s="5">
        <f t="shared" si="17"/>
        <v>1602</v>
      </c>
      <c r="L158" t="s">
        <v>18</v>
      </c>
    </row>
    <row r="159" spans="1:12" x14ac:dyDescent="0.3">
      <c r="A159" s="2">
        <v>45449</v>
      </c>
      <c r="B159">
        <f t="shared" si="12"/>
        <v>6</v>
      </c>
      <c r="C159" t="str">
        <f t="shared" si="13"/>
        <v>June</v>
      </c>
      <c r="D159" t="str">
        <f t="shared" si="14"/>
        <v>Thursday</v>
      </c>
      <c r="E159" t="s">
        <v>13</v>
      </c>
      <c r="F159">
        <v>30</v>
      </c>
      <c r="G159">
        <v>23</v>
      </c>
      <c r="H159" s="3">
        <f t="shared" si="15"/>
        <v>0.76666666666666672</v>
      </c>
      <c r="I159" s="4">
        <v>89</v>
      </c>
      <c r="J159" s="5">
        <f t="shared" si="16"/>
        <v>68.233333333333334</v>
      </c>
      <c r="K159" s="5">
        <f t="shared" si="17"/>
        <v>2047</v>
      </c>
      <c r="L159" t="s">
        <v>18</v>
      </c>
    </row>
    <row r="160" spans="1:12" x14ac:dyDescent="0.3">
      <c r="A160" s="2">
        <v>45450</v>
      </c>
      <c r="B160">
        <f t="shared" si="12"/>
        <v>6</v>
      </c>
      <c r="C160" t="str">
        <f t="shared" si="13"/>
        <v>June</v>
      </c>
      <c r="D160" t="str">
        <f t="shared" si="14"/>
        <v>Friday</v>
      </c>
      <c r="E160" t="s">
        <v>13</v>
      </c>
      <c r="F160">
        <v>30</v>
      </c>
      <c r="G160">
        <v>29</v>
      </c>
      <c r="H160" s="3">
        <f t="shared" si="15"/>
        <v>0.96666666666666667</v>
      </c>
      <c r="I160" s="4">
        <v>89</v>
      </c>
      <c r="J160" s="5">
        <f t="shared" si="16"/>
        <v>86.033333333333331</v>
      </c>
      <c r="K160" s="5">
        <f t="shared" si="17"/>
        <v>2581</v>
      </c>
      <c r="L160" t="s">
        <v>18</v>
      </c>
    </row>
    <row r="161" spans="1:12" x14ac:dyDescent="0.3">
      <c r="A161" s="2">
        <v>45451</v>
      </c>
      <c r="B161">
        <f t="shared" si="12"/>
        <v>6</v>
      </c>
      <c r="C161" t="str">
        <f t="shared" si="13"/>
        <v>June</v>
      </c>
      <c r="D161" t="str">
        <f t="shared" si="14"/>
        <v>Saturday</v>
      </c>
      <c r="E161" t="s">
        <v>12</v>
      </c>
      <c r="F161">
        <v>40</v>
      </c>
      <c r="G161">
        <v>24</v>
      </c>
      <c r="H161" s="3">
        <f t="shared" si="15"/>
        <v>0.6</v>
      </c>
      <c r="I161" s="4">
        <v>89</v>
      </c>
      <c r="J161" s="5">
        <f t="shared" si="16"/>
        <v>53.4</v>
      </c>
      <c r="K161" s="5">
        <f t="shared" si="17"/>
        <v>2136</v>
      </c>
      <c r="L161" t="s">
        <v>18</v>
      </c>
    </row>
    <row r="162" spans="1:12" x14ac:dyDescent="0.3">
      <c r="A162" s="2">
        <v>45452</v>
      </c>
      <c r="B162">
        <f t="shared" si="12"/>
        <v>6</v>
      </c>
      <c r="C162" t="str">
        <f t="shared" si="13"/>
        <v>June</v>
      </c>
      <c r="D162" t="str">
        <f t="shared" si="14"/>
        <v>Sunday</v>
      </c>
      <c r="E162" t="s">
        <v>12</v>
      </c>
      <c r="F162">
        <v>40</v>
      </c>
      <c r="G162">
        <v>28</v>
      </c>
      <c r="H162" s="3">
        <f t="shared" si="15"/>
        <v>0.7</v>
      </c>
      <c r="I162" s="4">
        <v>89</v>
      </c>
      <c r="J162" s="5">
        <f t="shared" si="16"/>
        <v>62.3</v>
      </c>
      <c r="K162" s="5">
        <f t="shared" si="17"/>
        <v>2492</v>
      </c>
      <c r="L162" t="s">
        <v>18</v>
      </c>
    </row>
    <row r="163" spans="1:12" x14ac:dyDescent="0.3">
      <c r="A163" s="2">
        <v>45453</v>
      </c>
      <c r="B163">
        <f t="shared" si="12"/>
        <v>6</v>
      </c>
      <c r="C163" t="str">
        <f t="shared" si="13"/>
        <v>June</v>
      </c>
      <c r="D163" t="str">
        <f t="shared" si="14"/>
        <v>Monday</v>
      </c>
      <c r="E163" t="s">
        <v>12</v>
      </c>
      <c r="F163">
        <v>40</v>
      </c>
      <c r="G163">
        <v>33</v>
      </c>
      <c r="H163" s="3">
        <f t="shared" si="15"/>
        <v>0.82499999999999996</v>
      </c>
      <c r="I163" s="4">
        <v>89</v>
      </c>
      <c r="J163" s="5">
        <f t="shared" si="16"/>
        <v>73.424999999999997</v>
      </c>
      <c r="K163" s="5">
        <f t="shared" si="17"/>
        <v>2937</v>
      </c>
      <c r="L163" t="s">
        <v>18</v>
      </c>
    </row>
    <row r="164" spans="1:12" x14ac:dyDescent="0.3">
      <c r="A164" s="2">
        <v>45454</v>
      </c>
      <c r="B164">
        <f t="shared" si="12"/>
        <v>6</v>
      </c>
      <c r="C164" t="str">
        <f t="shared" si="13"/>
        <v>June</v>
      </c>
      <c r="D164" t="str">
        <f t="shared" si="14"/>
        <v>Tuesday</v>
      </c>
      <c r="E164" t="s">
        <v>15</v>
      </c>
      <c r="F164">
        <v>10</v>
      </c>
      <c r="G164">
        <v>8</v>
      </c>
      <c r="H164" s="3">
        <f t="shared" si="15"/>
        <v>0.8</v>
      </c>
      <c r="I164" s="4">
        <v>89</v>
      </c>
      <c r="J164" s="5">
        <f t="shared" si="16"/>
        <v>71.2</v>
      </c>
      <c r="K164" s="5">
        <f t="shared" si="17"/>
        <v>712</v>
      </c>
      <c r="L164" t="s">
        <v>18</v>
      </c>
    </row>
    <row r="165" spans="1:12" x14ac:dyDescent="0.3">
      <c r="A165" s="2">
        <v>45455</v>
      </c>
      <c r="B165">
        <f t="shared" si="12"/>
        <v>6</v>
      </c>
      <c r="C165" t="str">
        <f t="shared" si="13"/>
        <v>June</v>
      </c>
      <c r="D165" t="str">
        <f t="shared" si="14"/>
        <v>Wednesday</v>
      </c>
      <c r="E165" t="s">
        <v>12</v>
      </c>
      <c r="F165">
        <v>40</v>
      </c>
      <c r="G165">
        <v>25</v>
      </c>
      <c r="H165" s="3">
        <f t="shared" si="15"/>
        <v>0.625</v>
      </c>
      <c r="I165" s="4">
        <v>89</v>
      </c>
      <c r="J165" s="5">
        <f t="shared" si="16"/>
        <v>55.625</v>
      </c>
      <c r="K165" s="5">
        <f t="shared" si="17"/>
        <v>2225</v>
      </c>
      <c r="L165" t="s">
        <v>18</v>
      </c>
    </row>
    <row r="166" spans="1:12" x14ac:dyDescent="0.3">
      <c r="A166" s="2">
        <v>45456</v>
      </c>
      <c r="B166">
        <f t="shared" si="12"/>
        <v>6</v>
      </c>
      <c r="C166" t="str">
        <f t="shared" si="13"/>
        <v>June</v>
      </c>
      <c r="D166" t="str">
        <f t="shared" si="14"/>
        <v>Thursday</v>
      </c>
      <c r="E166" t="s">
        <v>12</v>
      </c>
      <c r="F166">
        <v>40</v>
      </c>
      <c r="G166">
        <v>25</v>
      </c>
      <c r="H166" s="3">
        <f t="shared" si="15"/>
        <v>0.625</v>
      </c>
      <c r="I166" s="4">
        <v>89</v>
      </c>
      <c r="J166" s="5">
        <f t="shared" si="16"/>
        <v>55.625</v>
      </c>
      <c r="K166" s="5">
        <f t="shared" si="17"/>
        <v>2225</v>
      </c>
      <c r="L166" t="s">
        <v>18</v>
      </c>
    </row>
    <row r="167" spans="1:12" x14ac:dyDescent="0.3">
      <c r="A167" s="2">
        <v>45457</v>
      </c>
      <c r="B167">
        <f t="shared" si="12"/>
        <v>6</v>
      </c>
      <c r="C167" t="str">
        <f t="shared" si="13"/>
        <v>June</v>
      </c>
      <c r="D167" t="str">
        <f t="shared" si="14"/>
        <v>Friday</v>
      </c>
      <c r="E167" t="s">
        <v>12</v>
      </c>
      <c r="F167">
        <v>40</v>
      </c>
      <c r="G167">
        <v>37</v>
      </c>
      <c r="H167" s="3">
        <f t="shared" si="15"/>
        <v>0.92500000000000004</v>
      </c>
      <c r="I167" s="4">
        <v>89</v>
      </c>
      <c r="J167" s="5">
        <f t="shared" si="16"/>
        <v>82.325000000000003</v>
      </c>
      <c r="K167" s="5">
        <f t="shared" si="17"/>
        <v>3293</v>
      </c>
      <c r="L167" t="s">
        <v>18</v>
      </c>
    </row>
    <row r="168" spans="1:12" x14ac:dyDescent="0.3">
      <c r="A168" s="2">
        <v>45458</v>
      </c>
      <c r="B168">
        <f t="shared" si="12"/>
        <v>6</v>
      </c>
      <c r="C168" t="str">
        <f t="shared" si="13"/>
        <v>June</v>
      </c>
      <c r="D168" t="str">
        <f t="shared" si="14"/>
        <v>Saturday</v>
      </c>
      <c r="E168" t="s">
        <v>12</v>
      </c>
      <c r="F168">
        <v>40</v>
      </c>
      <c r="G168">
        <v>37</v>
      </c>
      <c r="H168" s="3">
        <f t="shared" si="15"/>
        <v>0.92500000000000004</v>
      </c>
      <c r="I168" s="4">
        <v>89</v>
      </c>
      <c r="J168" s="5">
        <f t="shared" si="16"/>
        <v>82.325000000000003</v>
      </c>
      <c r="K168" s="5">
        <f t="shared" si="17"/>
        <v>3293</v>
      </c>
      <c r="L168" t="s">
        <v>18</v>
      </c>
    </row>
    <row r="169" spans="1:12" x14ac:dyDescent="0.3">
      <c r="A169" s="2">
        <v>45459</v>
      </c>
      <c r="B169">
        <f t="shared" si="12"/>
        <v>6</v>
      </c>
      <c r="C169" t="str">
        <f t="shared" si="13"/>
        <v>June</v>
      </c>
      <c r="D169" t="str">
        <f t="shared" si="14"/>
        <v>Sunday</v>
      </c>
      <c r="E169" t="s">
        <v>12</v>
      </c>
      <c r="F169">
        <v>40</v>
      </c>
      <c r="G169">
        <v>36</v>
      </c>
      <c r="H169" s="3">
        <f t="shared" si="15"/>
        <v>0.9</v>
      </c>
      <c r="I169" s="4">
        <v>89</v>
      </c>
      <c r="J169" s="5">
        <f t="shared" si="16"/>
        <v>80.100000000000009</v>
      </c>
      <c r="K169" s="5">
        <f t="shared" si="17"/>
        <v>3204</v>
      </c>
      <c r="L169" t="s">
        <v>18</v>
      </c>
    </row>
    <row r="170" spans="1:12" x14ac:dyDescent="0.3">
      <c r="A170" s="2">
        <v>45460</v>
      </c>
      <c r="B170">
        <f t="shared" si="12"/>
        <v>6</v>
      </c>
      <c r="C170" t="str">
        <f t="shared" si="13"/>
        <v>June</v>
      </c>
      <c r="D170" t="str">
        <f t="shared" si="14"/>
        <v>Monday</v>
      </c>
      <c r="E170" t="s">
        <v>12</v>
      </c>
      <c r="F170">
        <v>40</v>
      </c>
      <c r="G170">
        <v>34</v>
      </c>
      <c r="H170" s="3">
        <f t="shared" si="15"/>
        <v>0.85</v>
      </c>
      <c r="I170" s="4">
        <v>89</v>
      </c>
      <c r="J170" s="5">
        <f t="shared" si="16"/>
        <v>75.649999999999991</v>
      </c>
      <c r="K170" s="5">
        <f t="shared" si="17"/>
        <v>3026</v>
      </c>
      <c r="L170" t="s">
        <v>18</v>
      </c>
    </row>
    <row r="171" spans="1:12" x14ac:dyDescent="0.3">
      <c r="A171" s="2">
        <v>45461</v>
      </c>
      <c r="B171">
        <f t="shared" si="12"/>
        <v>6</v>
      </c>
      <c r="C171" t="str">
        <f t="shared" si="13"/>
        <v>June</v>
      </c>
      <c r="D171" t="str">
        <f t="shared" si="14"/>
        <v>Tuesday</v>
      </c>
      <c r="E171" t="s">
        <v>12</v>
      </c>
      <c r="F171">
        <v>40</v>
      </c>
      <c r="G171">
        <v>32</v>
      </c>
      <c r="H171" s="3">
        <f t="shared" si="15"/>
        <v>0.8</v>
      </c>
      <c r="I171" s="4">
        <v>89</v>
      </c>
      <c r="J171" s="5">
        <f t="shared" si="16"/>
        <v>71.2</v>
      </c>
      <c r="K171" s="5">
        <f t="shared" si="17"/>
        <v>2848</v>
      </c>
      <c r="L171" t="s">
        <v>18</v>
      </c>
    </row>
    <row r="172" spans="1:12" x14ac:dyDescent="0.3">
      <c r="A172" s="2">
        <v>45462</v>
      </c>
      <c r="B172">
        <f t="shared" si="12"/>
        <v>6</v>
      </c>
      <c r="C172" t="str">
        <f t="shared" si="13"/>
        <v>June</v>
      </c>
      <c r="D172" t="str">
        <f t="shared" si="14"/>
        <v>Wednesday</v>
      </c>
      <c r="E172" t="s">
        <v>12</v>
      </c>
      <c r="F172">
        <v>40</v>
      </c>
      <c r="G172">
        <v>35</v>
      </c>
      <c r="H172" s="3">
        <f t="shared" si="15"/>
        <v>0.875</v>
      </c>
      <c r="I172" s="4">
        <v>89</v>
      </c>
      <c r="J172" s="5">
        <f t="shared" si="16"/>
        <v>77.875</v>
      </c>
      <c r="K172" s="5">
        <f t="shared" si="17"/>
        <v>3115</v>
      </c>
      <c r="L172" t="s">
        <v>18</v>
      </c>
    </row>
    <row r="173" spans="1:12" x14ac:dyDescent="0.3">
      <c r="A173" s="2">
        <v>45463</v>
      </c>
      <c r="B173">
        <f t="shared" si="12"/>
        <v>6</v>
      </c>
      <c r="C173" t="str">
        <f t="shared" si="13"/>
        <v>June</v>
      </c>
      <c r="D173" t="str">
        <f t="shared" si="14"/>
        <v>Thursday</v>
      </c>
      <c r="E173" t="s">
        <v>14</v>
      </c>
      <c r="F173">
        <v>15</v>
      </c>
      <c r="G173">
        <v>9</v>
      </c>
      <c r="H173" s="3">
        <f t="shared" si="15"/>
        <v>0.6</v>
      </c>
      <c r="I173" s="4">
        <v>89</v>
      </c>
      <c r="J173" s="5">
        <f t="shared" si="16"/>
        <v>53.4</v>
      </c>
      <c r="K173" s="5">
        <f t="shared" si="17"/>
        <v>801</v>
      </c>
      <c r="L173" t="s">
        <v>18</v>
      </c>
    </row>
    <row r="174" spans="1:12" x14ac:dyDescent="0.3">
      <c r="A174" s="2">
        <v>45464</v>
      </c>
      <c r="B174">
        <f t="shared" si="12"/>
        <v>6</v>
      </c>
      <c r="C174" t="str">
        <f t="shared" si="13"/>
        <v>June</v>
      </c>
      <c r="D174" t="str">
        <f t="shared" si="14"/>
        <v>Friday</v>
      </c>
      <c r="E174" t="s">
        <v>14</v>
      </c>
      <c r="F174">
        <v>15</v>
      </c>
      <c r="G174">
        <v>14</v>
      </c>
      <c r="H174" s="3">
        <f t="shared" si="15"/>
        <v>0.93333333333333335</v>
      </c>
      <c r="I174" s="4">
        <v>89</v>
      </c>
      <c r="J174" s="5">
        <f t="shared" si="16"/>
        <v>83.066666666666663</v>
      </c>
      <c r="K174" s="5">
        <f t="shared" si="17"/>
        <v>1246</v>
      </c>
      <c r="L174" t="s">
        <v>18</v>
      </c>
    </row>
    <row r="175" spans="1:12" x14ac:dyDescent="0.3">
      <c r="A175" s="2">
        <v>45465</v>
      </c>
      <c r="B175">
        <f t="shared" si="12"/>
        <v>6</v>
      </c>
      <c r="C175" t="str">
        <f t="shared" si="13"/>
        <v>June</v>
      </c>
      <c r="D175" t="str">
        <f t="shared" si="14"/>
        <v>Saturday</v>
      </c>
      <c r="E175" t="s">
        <v>14</v>
      </c>
      <c r="F175">
        <v>15</v>
      </c>
      <c r="G175">
        <v>11</v>
      </c>
      <c r="H175" s="3">
        <f t="shared" si="15"/>
        <v>0.73333333333333328</v>
      </c>
      <c r="I175" s="4">
        <v>89</v>
      </c>
      <c r="J175" s="5">
        <f t="shared" si="16"/>
        <v>65.266666666666666</v>
      </c>
      <c r="K175" s="5">
        <f t="shared" si="17"/>
        <v>979</v>
      </c>
      <c r="L175" t="s">
        <v>18</v>
      </c>
    </row>
    <row r="176" spans="1:12" x14ac:dyDescent="0.3">
      <c r="A176" s="2">
        <v>45466</v>
      </c>
      <c r="B176">
        <f t="shared" si="12"/>
        <v>6</v>
      </c>
      <c r="C176" t="str">
        <f t="shared" si="13"/>
        <v>June</v>
      </c>
      <c r="D176" t="str">
        <f t="shared" si="14"/>
        <v>Sunday</v>
      </c>
      <c r="E176" t="s">
        <v>14</v>
      </c>
      <c r="F176">
        <v>15</v>
      </c>
      <c r="G176">
        <v>9</v>
      </c>
      <c r="H176" s="3">
        <f t="shared" si="15"/>
        <v>0.6</v>
      </c>
      <c r="I176" s="4">
        <v>89</v>
      </c>
      <c r="J176" s="5">
        <f t="shared" si="16"/>
        <v>53.4</v>
      </c>
      <c r="K176" s="5">
        <f t="shared" si="17"/>
        <v>801</v>
      </c>
      <c r="L176" t="s">
        <v>18</v>
      </c>
    </row>
    <row r="177" spans="1:12" x14ac:dyDescent="0.3">
      <c r="A177" s="2">
        <v>45467</v>
      </c>
      <c r="B177">
        <f t="shared" si="12"/>
        <v>6</v>
      </c>
      <c r="C177" t="str">
        <f t="shared" si="13"/>
        <v>June</v>
      </c>
      <c r="D177" t="str">
        <f t="shared" si="14"/>
        <v>Monday</v>
      </c>
      <c r="E177" t="s">
        <v>14</v>
      </c>
      <c r="F177">
        <v>15</v>
      </c>
      <c r="G177">
        <v>13</v>
      </c>
      <c r="H177" s="3">
        <f t="shared" si="15"/>
        <v>0.8666666666666667</v>
      </c>
      <c r="I177" s="4">
        <v>89</v>
      </c>
      <c r="J177" s="5">
        <f t="shared" si="16"/>
        <v>77.13333333333334</v>
      </c>
      <c r="K177" s="5">
        <f t="shared" si="17"/>
        <v>1157</v>
      </c>
      <c r="L177" t="s">
        <v>18</v>
      </c>
    </row>
    <row r="178" spans="1:12" x14ac:dyDescent="0.3">
      <c r="A178" s="2">
        <v>45468</v>
      </c>
      <c r="B178">
        <f t="shared" si="12"/>
        <v>6</v>
      </c>
      <c r="C178" t="str">
        <f t="shared" si="13"/>
        <v>June</v>
      </c>
      <c r="D178" t="str">
        <f t="shared" si="14"/>
        <v>Tuesday</v>
      </c>
      <c r="E178" t="s">
        <v>14</v>
      </c>
      <c r="F178">
        <v>15</v>
      </c>
      <c r="G178">
        <v>9</v>
      </c>
      <c r="H178" s="3">
        <f t="shared" si="15"/>
        <v>0.6</v>
      </c>
      <c r="I178" s="4">
        <v>89</v>
      </c>
      <c r="J178" s="5">
        <f t="shared" si="16"/>
        <v>53.4</v>
      </c>
      <c r="K178" s="5">
        <f t="shared" si="17"/>
        <v>801</v>
      </c>
      <c r="L178" t="s">
        <v>18</v>
      </c>
    </row>
    <row r="179" spans="1:12" x14ac:dyDescent="0.3">
      <c r="A179" s="2">
        <v>45469</v>
      </c>
      <c r="B179">
        <f t="shared" si="12"/>
        <v>6</v>
      </c>
      <c r="C179" t="str">
        <f t="shared" si="13"/>
        <v>June</v>
      </c>
      <c r="D179" t="str">
        <f t="shared" si="14"/>
        <v>Wednesday</v>
      </c>
      <c r="E179" t="s">
        <v>14</v>
      </c>
      <c r="F179">
        <v>15</v>
      </c>
      <c r="G179">
        <v>14</v>
      </c>
      <c r="H179" s="3">
        <f t="shared" si="15"/>
        <v>0.93333333333333335</v>
      </c>
      <c r="I179" s="4">
        <v>89</v>
      </c>
      <c r="J179" s="5">
        <f t="shared" si="16"/>
        <v>83.066666666666663</v>
      </c>
      <c r="K179" s="5">
        <f t="shared" si="17"/>
        <v>1246</v>
      </c>
      <c r="L179" t="s">
        <v>18</v>
      </c>
    </row>
    <row r="180" spans="1:12" x14ac:dyDescent="0.3">
      <c r="A180" s="2">
        <v>45470</v>
      </c>
      <c r="B180">
        <f t="shared" si="12"/>
        <v>6</v>
      </c>
      <c r="C180" t="str">
        <f t="shared" si="13"/>
        <v>June</v>
      </c>
      <c r="D180" t="str">
        <f t="shared" si="14"/>
        <v>Thursday</v>
      </c>
      <c r="E180" t="s">
        <v>14</v>
      </c>
      <c r="F180">
        <v>15</v>
      </c>
      <c r="G180">
        <v>9</v>
      </c>
      <c r="H180" s="3">
        <f t="shared" si="15"/>
        <v>0.6</v>
      </c>
      <c r="I180" s="4">
        <v>89</v>
      </c>
      <c r="J180" s="5">
        <f t="shared" si="16"/>
        <v>53.4</v>
      </c>
      <c r="K180" s="5">
        <f t="shared" si="17"/>
        <v>801</v>
      </c>
      <c r="L180" t="s">
        <v>18</v>
      </c>
    </row>
    <row r="181" spans="1:12" x14ac:dyDescent="0.3">
      <c r="A181" s="2">
        <v>45471</v>
      </c>
      <c r="B181">
        <f t="shared" si="12"/>
        <v>6</v>
      </c>
      <c r="C181" t="str">
        <f t="shared" si="13"/>
        <v>June</v>
      </c>
      <c r="D181" t="str">
        <f t="shared" si="14"/>
        <v>Friday</v>
      </c>
      <c r="E181" t="s">
        <v>14</v>
      </c>
      <c r="F181">
        <v>15</v>
      </c>
      <c r="G181">
        <v>12</v>
      </c>
      <c r="H181" s="3">
        <f t="shared" si="15"/>
        <v>0.8</v>
      </c>
      <c r="I181" s="4">
        <v>89</v>
      </c>
      <c r="J181" s="5">
        <f t="shared" si="16"/>
        <v>71.2</v>
      </c>
      <c r="K181" s="5">
        <f t="shared" si="17"/>
        <v>1068</v>
      </c>
      <c r="L181" t="s">
        <v>19</v>
      </c>
    </row>
    <row r="182" spans="1:12" x14ac:dyDescent="0.3">
      <c r="A182" s="2">
        <v>45472</v>
      </c>
      <c r="B182">
        <f t="shared" si="12"/>
        <v>6</v>
      </c>
      <c r="C182" t="str">
        <f t="shared" si="13"/>
        <v>June</v>
      </c>
      <c r="D182" t="str">
        <f t="shared" si="14"/>
        <v>Saturday</v>
      </c>
      <c r="E182" t="s">
        <v>14</v>
      </c>
      <c r="F182">
        <v>15</v>
      </c>
      <c r="G182">
        <v>9</v>
      </c>
      <c r="H182" s="3">
        <f t="shared" si="15"/>
        <v>0.6</v>
      </c>
      <c r="I182" s="4">
        <v>89</v>
      </c>
      <c r="J182" s="5">
        <f t="shared" si="16"/>
        <v>53.4</v>
      </c>
      <c r="K182" s="5">
        <f t="shared" si="17"/>
        <v>801</v>
      </c>
      <c r="L182" t="s">
        <v>19</v>
      </c>
    </row>
    <row r="183" spans="1:12" x14ac:dyDescent="0.3">
      <c r="A183" s="2">
        <v>45473</v>
      </c>
      <c r="B183">
        <f t="shared" si="12"/>
        <v>6</v>
      </c>
      <c r="C183" t="str">
        <f t="shared" si="13"/>
        <v>June</v>
      </c>
      <c r="D183" t="str">
        <f t="shared" si="14"/>
        <v>Sunday</v>
      </c>
      <c r="E183" t="s">
        <v>14</v>
      </c>
      <c r="F183">
        <v>15</v>
      </c>
      <c r="G183">
        <v>9</v>
      </c>
      <c r="H183" s="3">
        <f t="shared" si="15"/>
        <v>0.6</v>
      </c>
      <c r="I183" s="4">
        <v>89</v>
      </c>
      <c r="J183" s="5">
        <f t="shared" si="16"/>
        <v>53.4</v>
      </c>
      <c r="K183" s="5">
        <f t="shared" si="17"/>
        <v>801</v>
      </c>
      <c r="L183" t="s">
        <v>19</v>
      </c>
    </row>
    <row r="184" spans="1:12" x14ac:dyDescent="0.3">
      <c r="A184" s="2">
        <v>45474</v>
      </c>
      <c r="B184">
        <f t="shared" si="12"/>
        <v>7</v>
      </c>
      <c r="C184" t="str">
        <f t="shared" si="13"/>
        <v>July</v>
      </c>
      <c r="D184" t="str">
        <f t="shared" si="14"/>
        <v>Monday</v>
      </c>
      <c r="E184" t="s">
        <v>14</v>
      </c>
      <c r="F184">
        <v>15</v>
      </c>
      <c r="G184">
        <v>11</v>
      </c>
      <c r="H184" s="3">
        <f t="shared" si="15"/>
        <v>0.73333333333333328</v>
      </c>
      <c r="I184" s="4">
        <v>89</v>
      </c>
      <c r="J184" s="5">
        <f t="shared" si="16"/>
        <v>65.266666666666666</v>
      </c>
      <c r="K184" s="5">
        <f t="shared" si="17"/>
        <v>979</v>
      </c>
      <c r="L184" t="s">
        <v>19</v>
      </c>
    </row>
    <row r="185" spans="1:12" x14ac:dyDescent="0.3">
      <c r="A185" s="2">
        <v>45475</v>
      </c>
      <c r="B185">
        <f t="shared" si="12"/>
        <v>7</v>
      </c>
      <c r="C185" t="str">
        <f t="shared" si="13"/>
        <v>July</v>
      </c>
      <c r="D185" t="str">
        <f t="shared" si="14"/>
        <v>Tuesday</v>
      </c>
      <c r="E185" t="s">
        <v>14</v>
      </c>
      <c r="F185">
        <v>15</v>
      </c>
      <c r="G185">
        <v>14</v>
      </c>
      <c r="H185" s="3">
        <f t="shared" si="15"/>
        <v>0.93333333333333335</v>
      </c>
      <c r="I185" s="4">
        <v>89</v>
      </c>
      <c r="J185" s="5">
        <f t="shared" si="16"/>
        <v>83.066666666666663</v>
      </c>
      <c r="K185" s="5">
        <f t="shared" si="17"/>
        <v>1246</v>
      </c>
      <c r="L185" t="s">
        <v>19</v>
      </c>
    </row>
    <row r="186" spans="1:12" x14ac:dyDescent="0.3">
      <c r="A186" s="2">
        <v>45476</v>
      </c>
      <c r="B186">
        <f t="shared" si="12"/>
        <v>7</v>
      </c>
      <c r="C186" t="str">
        <f t="shared" si="13"/>
        <v>July</v>
      </c>
      <c r="D186" t="str">
        <f t="shared" si="14"/>
        <v>Wednesday</v>
      </c>
      <c r="E186" t="s">
        <v>14</v>
      </c>
      <c r="F186">
        <v>15</v>
      </c>
      <c r="G186">
        <v>12</v>
      </c>
      <c r="H186" s="3">
        <f t="shared" si="15"/>
        <v>0.8</v>
      </c>
      <c r="I186" s="4">
        <v>89</v>
      </c>
      <c r="J186" s="5">
        <f t="shared" si="16"/>
        <v>71.2</v>
      </c>
      <c r="K186" s="5">
        <f t="shared" si="17"/>
        <v>1068</v>
      </c>
      <c r="L186" t="s">
        <v>19</v>
      </c>
    </row>
    <row r="187" spans="1:12" x14ac:dyDescent="0.3">
      <c r="A187" s="2">
        <v>45477</v>
      </c>
      <c r="B187">
        <f t="shared" si="12"/>
        <v>7</v>
      </c>
      <c r="C187" t="str">
        <f t="shared" si="13"/>
        <v>July</v>
      </c>
      <c r="D187" t="str">
        <f t="shared" si="14"/>
        <v>Thursday</v>
      </c>
      <c r="E187" t="s">
        <v>14</v>
      </c>
      <c r="F187">
        <v>15</v>
      </c>
      <c r="G187">
        <v>9</v>
      </c>
      <c r="H187" s="3">
        <f t="shared" si="15"/>
        <v>0.6</v>
      </c>
      <c r="I187" s="4">
        <v>89</v>
      </c>
      <c r="J187" s="5">
        <f t="shared" si="16"/>
        <v>53.4</v>
      </c>
      <c r="K187" s="5">
        <f t="shared" si="17"/>
        <v>801</v>
      </c>
      <c r="L187" t="s">
        <v>19</v>
      </c>
    </row>
    <row r="188" spans="1:12" x14ac:dyDescent="0.3">
      <c r="A188" s="2">
        <v>45478</v>
      </c>
      <c r="B188">
        <f t="shared" si="12"/>
        <v>7</v>
      </c>
      <c r="C188" t="str">
        <f t="shared" si="13"/>
        <v>July</v>
      </c>
      <c r="D188" t="str">
        <f t="shared" si="14"/>
        <v>Friday</v>
      </c>
      <c r="E188" t="s">
        <v>12</v>
      </c>
      <c r="F188">
        <v>40</v>
      </c>
      <c r="G188">
        <v>35</v>
      </c>
      <c r="H188" s="3">
        <f t="shared" si="15"/>
        <v>0.875</v>
      </c>
      <c r="I188" s="4">
        <v>89</v>
      </c>
      <c r="J188" s="5">
        <f t="shared" si="16"/>
        <v>77.875</v>
      </c>
      <c r="K188" s="5">
        <f t="shared" si="17"/>
        <v>3115</v>
      </c>
      <c r="L188" t="s">
        <v>19</v>
      </c>
    </row>
    <row r="189" spans="1:12" x14ac:dyDescent="0.3">
      <c r="A189" s="2">
        <v>45479</v>
      </c>
      <c r="B189">
        <f t="shared" si="12"/>
        <v>7</v>
      </c>
      <c r="C189" t="str">
        <f t="shared" si="13"/>
        <v>July</v>
      </c>
      <c r="D189" t="str">
        <f t="shared" si="14"/>
        <v>Saturday</v>
      </c>
      <c r="E189" t="s">
        <v>12</v>
      </c>
      <c r="F189">
        <v>40</v>
      </c>
      <c r="G189">
        <v>33</v>
      </c>
      <c r="H189" s="3">
        <f t="shared" si="15"/>
        <v>0.82499999999999996</v>
      </c>
      <c r="I189" s="4">
        <v>89</v>
      </c>
      <c r="J189" s="5">
        <f t="shared" si="16"/>
        <v>73.424999999999997</v>
      </c>
      <c r="K189" s="5">
        <f t="shared" si="17"/>
        <v>2937</v>
      </c>
      <c r="L189" t="s">
        <v>19</v>
      </c>
    </row>
    <row r="190" spans="1:12" x14ac:dyDescent="0.3">
      <c r="A190" s="2">
        <v>45480</v>
      </c>
      <c r="B190">
        <f t="shared" si="12"/>
        <v>7</v>
      </c>
      <c r="C190" t="str">
        <f t="shared" si="13"/>
        <v>July</v>
      </c>
      <c r="D190" t="str">
        <f t="shared" si="14"/>
        <v>Sunday</v>
      </c>
      <c r="E190" t="s">
        <v>12</v>
      </c>
      <c r="F190">
        <v>40</v>
      </c>
      <c r="G190">
        <v>28</v>
      </c>
      <c r="H190" s="3">
        <f t="shared" si="15"/>
        <v>0.7</v>
      </c>
      <c r="I190" s="4">
        <v>89</v>
      </c>
      <c r="J190" s="5">
        <f t="shared" si="16"/>
        <v>62.3</v>
      </c>
      <c r="K190" s="5">
        <f t="shared" si="17"/>
        <v>2492</v>
      </c>
      <c r="L190" t="s">
        <v>19</v>
      </c>
    </row>
    <row r="191" spans="1:12" x14ac:dyDescent="0.3">
      <c r="A191" s="2">
        <v>45481</v>
      </c>
      <c r="B191">
        <f t="shared" si="12"/>
        <v>7</v>
      </c>
      <c r="C191" t="str">
        <f t="shared" si="13"/>
        <v>July</v>
      </c>
      <c r="D191" t="str">
        <f t="shared" si="14"/>
        <v>Monday</v>
      </c>
      <c r="E191" t="s">
        <v>12</v>
      </c>
      <c r="F191">
        <v>40</v>
      </c>
      <c r="G191">
        <v>34</v>
      </c>
      <c r="H191" s="3">
        <f t="shared" si="15"/>
        <v>0.85</v>
      </c>
      <c r="I191" s="4">
        <v>89</v>
      </c>
      <c r="J191" s="5">
        <f t="shared" si="16"/>
        <v>75.649999999999991</v>
      </c>
      <c r="K191" s="5">
        <f t="shared" si="17"/>
        <v>3026</v>
      </c>
      <c r="L191" t="s">
        <v>19</v>
      </c>
    </row>
    <row r="192" spans="1:12" x14ac:dyDescent="0.3">
      <c r="A192" s="2">
        <v>45482</v>
      </c>
      <c r="B192">
        <f t="shared" si="12"/>
        <v>7</v>
      </c>
      <c r="C192" t="str">
        <f t="shared" si="13"/>
        <v>July</v>
      </c>
      <c r="D192" t="str">
        <f t="shared" si="14"/>
        <v>Tuesday</v>
      </c>
      <c r="E192" t="s">
        <v>12</v>
      </c>
      <c r="F192">
        <v>40</v>
      </c>
      <c r="G192">
        <v>31</v>
      </c>
      <c r="H192" s="3">
        <f t="shared" si="15"/>
        <v>0.77500000000000002</v>
      </c>
      <c r="I192" s="4">
        <v>89</v>
      </c>
      <c r="J192" s="5">
        <f t="shared" si="16"/>
        <v>68.975000000000009</v>
      </c>
      <c r="K192" s="5">
        <f t="shared" si="17"/>
        <v>2759</v>
      </c>
      <c r="L192" t="s">
        <v>19</v>
      </c>
    </row>
    <row r="193" spans="1:12" x14ac:dyDescent="0.3">
      <c r="A193" s="2">
        <v>45483</v>
      </c>
      <c r="B193">
        <f t="shared" si="12"/>
        <v>7</v>
      </c>
      <c r="C193" t="str">
        <f t="shared" si="13"/>
        <v>July</v>
      </c>
      <c r="D193" t="str">
        <f t="shared" si="14"/>
        <v>Wednesday</v>
      </c>
      <c r="E193" t="s">
        <v>12</v>
      </c>
      <c r="F193">
        <v>40</v>
      </c>
      <c r="G193">
        <v>26</v>
      </c>
      <c r="H193" s="3">
        <f t="shared" si="15"/>
        <v>0.65</v>
      </c>
      <c r="I193" s="4">
        <v>89</v>
      </c>
      <c r="J193" s="5">
        <f t="shared" si="16"/>
        <v>57.85</v>
      </c>
      <c r="K193" s="5">
        <f t="shared" si="17"/>
        <v>2314</v>
      </c>
      <c r="L193" t="s">
        <v>19</v>
      </c>
    </row>
    <row r="194" spans="1:12" x14ac:dyDescent="0.3">
      <c r="A194" s="2">
        <v>45484</v>
      </c>
      <c r="B194">
        <f t="shared" si="12"/>
        <v>7</v>
      </c>
      <c r="C194" t="str">
        <f t="shared" si="13"/>
        <v>July</v>
      </c>
      <c r="D194" t="str">
        <f t="shared" si="14"/>
        <v>Thursday</v>
      </c>
      <c r="E194" t="s">
        <v>15</v>
      </c>
      <c r="F194">
        <v>10</v>
      </c>
      <c r="G194">
        <v>10</v>
      </c>
      <c r="H194" s="3">
        <f t="shared" si="15"/>
        <v>1</v>
      </c>
      <c r="I194" s="4">
        <v>89</v>
      </c>
      <c r="J194" s="5">
        <f t="shared" si="16"/>
        <v>89</v>
      </c>
      <c r="K194" s="5">
        <f t="shared" si="17"/>
        <v>890</v>
      </c>
      <c r="L194" t="s">
        <v>19</v>
      </c>
    </row>
    <row r="195" spans="1:12" x14ac:dyDescent="0.3">
      <c r="A195" s="2">
        <v>45485</v>
      </c>
      <c r="B195">
        <f t="shared" ref="B195:B258" si="18">MONTH(A195)</f>
        <v>7</v>
      </c>
      <c r="C195" t="str">
        <f t="shared" ref="C195:C258" si="19">TEXT(A195,"MMMM")</f>
        <v>July</v>
      </c>
      <c r="D195" t="str">
        <f t="shared" ref="D195:D258" si="20">TEXT(A195,"dddd")</f>
        <v>Friday</v>
      </c>
      <c r="E195" t="s">
        <v>15</v>
      </c>
      <c r="F195">
        <v>10</v>
      </c>
      <c r="G195">
        <v>9</v>
      </c>
      <c r="H195" s="3">
        <f t="shared" ref="H195:H258" si="21">G195/F195</f>
        <v>0.9</v>
      </c>
      <c r="I195" s="4">
        <v>89</v>
      </c>
      <c r="J195" s="5">
        <f t="shared" ref="J195:J258" si="22">I195*H195</f>
        <v>80.100000000000009</v>
      </c>
      <c r="K195" s="5">
        <f t="shared" ref="K195:K258" si="23">I195*G195</f>
        <v>801</v>
      </c>
      <c r="L195" t="s">
        <v>19</v>
      </c>
    </row>
    <row r="196" spans="1:12" x14ac:dyDescent="0.3">
      <c r="A196" s="2">
        <v>45486</v>
      </c>
      <c r="B196">
        <f t="shared" si="18"/>
        <v>7</v>
      </c>
      <c r="C196" t="str">
        <f t="shared" si="19"/>
        <v>July</v>
      </c>
      <c r="D196" t="str">
        <f t="shared" si="20"/>
        <v>Saturday</v>
      </c>
      <c r="E196" t="s">
        <v>15</v>
      </c>
      <c r="F196">
        <v>10</v>
      </c>
      <c r="G196">
        <v>7</v>
      </c>
      <c r="H196" s="3">
        <f t="shared" si="21"/>
        <v>0.7</v>
      </c>
      <c r="I196" s="4">
        <v>89</v>
      </c>
      <c r="J196" s="5">
        <f t="shared" si="22"/>
        <v>62.3</v>
      </c>
      <c r="K196" s="5">
        <f t="shared" si="23"/>
        <v>623</v>
      </c>
      <c r="L196" t="s">
        <v>19</v>
      </c>
    </row>
    <row r="197" spans="1:12" x14ac:dyDescent="0.3">
      <c r="A197" s="2">
        <v>45487</v>
      </c>
      <c r="B197">
        <f t="shared" si="18"/>
        <v>7</v>
      </c>
      <c r="C197" t="str">
        <f t="shared" si="19"/>
        <v>July</v>
      </c>
      <c r="D197" t="str">
        <f t="shared" si="20"/>
        <v>Sunday</v>
      </c>
      <c r="E197" t="s">
        <v>15</v>
      </c>
      <c r="F197">
        <v>10</v>
      </c>
      <c r="G197">
        <v>8</v>
      </c>
      <c r="H197" s="3">
        <f t="shared" si="21"/>
        <v>0.8</v>
      </c>
      <c r="I197" s="4">
        <v>89</v>
      </c>
      <c r="J197" s="5">
        <f t="shared" si="22"/>
        <v>71.2</v>
      </c>
      <c r="K197" s="5">
        <f t="shared" si="23"/>
        <v>712</v>
      </c>
      <c r="L197" t="s">
        <v>19</v>
      </c>
    </row>
    <row r="198" spans="1:12" x14ac:dyDescent="0.3">
      <c r="A198" s="2">
        <v>45488</v>
      </c>
      <c r="B198">
        <f t="shared" si="18"/>
        <v>7</v>
      </c>
      <c r="C198" t="str">
        <f t="shared" si="19"/>
        <v>July</v>
      </c>
      <c r="D198" t="str">
        <f t="shared" si="20"/>
        <v>Monday</v>
      </c>
      <c r="E198" t="s">
        <v>15</v>
      </c>
      <c r="F198">
        <v>10</v>
      </c>
      <c r="G198">
        <v>10</v>
      </c>
      <c r="H198" s="3">
        <f t="shared" si="21"/>
        <v>1</v>
      </c>
      <c r="I198" s="4">
        <v>89</v>
      </c>
      <c r="J198" s="5">
        <f t="shared" si="22"/>
        <v>89</v>
      </c>
      <c r="K198" s="5">
        <f t="shared" si="23"/>
        <v>890</v>
      </c>
      <c r="L198" t="s">
        <v>19</v>
      </c>
    </row>
    <row r="199" spans="1:12" x14ac:dyDescent="0.3">
      <c r="A199" s="2">
        <v>45489</v>
      </c>
      <c r="B199">
        <f t="shared" si="18"/>
        <v>7</v>
      </c>
      <c r="C199" t="str">
        <f t="shared" si="19"/>
        <v>July</v>
      </c>
      <c r="D199" t="str">
        <f t="shared" si="20"/>
        <v>Tuesday</v>
      </c>
      <c r="E199" t="s">
        <v>15</v>
      </c>
      <c r="F199">
        <v>10</v>
      </c>
      <c r="G199">
        <v>10</v>
      </c>
      <c r="H199" s="3">
        <f t="shared" si="21"/>
        <v>1</v>
      </c>
      <c r="I199" s="4">
        <v>89</v>
      </c>
      <c r="J199" s="5">
        <f t="shared" si="22"/>
        <v>89</v>
      </c>
      <c r="K199" s="5">
        <f t="shared" si="23"/>
        <v>890</v>
      </c>
      <c r="L199" t="s">
        <v>19</v>
      </c>
    </row>
    <row r="200" spans="1:12" x14ac:dyDescent="0.3">
      <c r="A200" s="2">
        <v>45490</v>
      </c>
      <c r="B200">
        <f t="shared" si="18"/>
        <v>7</v>
      </c>
      <c r="C200" t="str">
        <f t="shared" si="19"/>
        <v>July</v>
      </c>
      <c r="D200" t="str">
        <f t="shared" si="20"/>
        <v>Wednesday</v>
      </c>
      <c r="E200" t="s">
        <v>15</v>
      </c>
      <c r="F200">
        <v>10</v>
      </c>
      <c r="G200">
        <v>8</v>
      </c>
      <c r="H200" s="3">
        <f t="shared" si="21"/>
        <v>0.8</v>
      </c>
      <c r="I200" s="4">
        <v>89</v>
      </c>
      <c r="J200" s="5">
        <f t="shared" si="22"/>
        <v>71.2</v>
      </c>
      <c r="K200" s="5">
        <f t="shared" si="23"/>
        <v>712</v>
      </c>
      <c r="L200" t="s">
        <v>19</v>
      </c>
    </row>
    <row r="201" spans="1:12" x14ac:dyDescent="0.3">
      <c r="A201" s="2">
        <v>45491</v>
      </c>
      <c r="B201">
        <f t="shared" si="18"/>
        <v>7</v>
      </c>
      <c r="C201" t="str">
        <f t="shared" si="19"/>
        <v>July</v>
      </c>
      <c r="D201" t="str">
        <f t="shared" si="20"/>
        <v>Thursday</v>
      </c>
      <c r="E201" t="s">
        <v>15</v>
      </c>
      <c r="F201">
        <v>10</v>
      </c>
      <c r="G201">
        <v>7</v>
      </c>
      <c r="H201" s="3">
        <f t="shared" si="21"/>
        <v>0.7</v>
      </c>
      <c r="I201" s="4">
        <v>89</v>
      </c>
      <c r="J201" s="5">
        <f t="shared" si="22"/>
        <v>62.3</v>
      </c>
      <c r="K201" s="5">
        <f t="shared" si="23"/>
        <v>623</v>
      </c>
      <c r="L201" t="s">
        <v>19</v>
      </c>
    </row>
    <row r="202" spans="1:12" x14ac:dyDescent="0.3">
      <c r="A202" s="2">
        <v>45492</v>
      </c>
      <c r="B202">
        <f t="shared" si="18"/>
        <v>7</v>
      </c>
      <c r="C202" t="str">
        <f t="shared" si="19"/>
        <v>July</v>
      </c>
      <c r="D202" t="str">
        <f t="shared" si="20"/>
        <v>Friday</v>
      </c>
      <c r="E202" t="s">
        <v>15</v>
      </c>
      <c r="F202">
        <v>10</v>
      </c>
      <c r="G202">
        <v>6</v>
      </c>
      <c r="H202" s="3">
        <f t="shared" si="21"/>
        <v>0.6</v>
      </c>
      <c r="I202" s="4">
        <v>89</v>
      </c>
      <c r="J202" s="5">
        <f t="shared" si="22"/>
        <v>53.4</v>
      </c>
      <c r="K202" s="5">
        <f t="shared" si="23"/>
        <v>534</v>
      </c>
      <c r="L202" t="s">
        <v>19</v>
      </c>
    </row>
    <row r="203" spans="1:12" x14ac:dyDescent="0.3">
      <c r="A203" s="2">
        <v>45493</v>
      </c>
      <c r="B203">
        <f t="shared" si="18"/>
        <v>7</v>
      </c>
      <c r="C203" t="str">
        <f t="shared" si="19"/>
        <v>July</v>
      </c>
      <c r="D203" t="str">
        <f t="shared" si="20"/>
        <v>Saturday</v>
      </c>
      <c r="E203" t="s">
        <v>15</v>
      </c>
      <c r="F203">
        <v>10</v>
      </c>
      <c r="G203">
        <v>6</v>
      </c>
      <c r="H203" s="3">
        <f t="shared" si="21"/>
        <v>0.6</v>
      </c>
      <c r="I203" s="4">
        <v>89</v>
      </c>
      <c r="J203" s="5">
        <f t="shared" si="22"/>
        <v>53.4</v>
      </c>
      <c r="K203" s="5">
        <f t="shared" si="23"/>
        <v>534</v>
      </c>
      <c r="L203" t="s">
        <v>19</v>
      </c>
    </row>
    <row r="204" spans="1:12" x14ac:dyDescent="0.3">
      <c r="A204" s="2">
        <v>45494</v>
      </c>
      <c r="B204">
        <f t="shared" si="18"/>
        <v>7</v>
      </c>
      <c r="C204" t="str">
        <f t="shared" si="19"/>
        <v>July</v>
      </c>
      <c r="D204" t="str">
        <f t="shared" si="20"/>
        <v>Sunday</v>
      </c>
      <c r="E204" t="s">
        <v>15</v>
      </c>
      <c r="F204">
        <v>10</v>
      </c>
      <c r="G204">
        <v>8</v>
      </c>
      <c r="H204" s="3">
        <f t="shared" si="21"/>
        <v>0.8</v>
      </c>
      <c r="I204" s="4">
        <v>89</v>
      </c>
      <c r="J204" s="5">
        <f t="shared" si="22"/>
        <v>71.2</v>
      </c>
      <c r="K204" s="5">
        <f t="shared" si="23"/>
        <v>712</v>
      </c>
      <c r="L204" t="s">
        <v>19</v>
      </c>
    </row>
    <row r="205" spans="1:12" x14ac:dyDescent="0.3">
      <c r="A205" s="2">
        <v>45495</v>
      </c>
      <c r="B205">
        <f t="shared" si="18"/>
        <v>7</v>
      </c>
      <c r="C205" t="str">
        <f t="shared" si="19"/>
        <v>July</v>
      </c>
      <c r="D205" t="str">
        <f t="shared" si="20"/>
        <v>Monday</v>
      </c>
      <c r="E205" t="s">
        <v>12</v>
      </c>
      <c r="F205">
        <v>40</v>
      </c>
      <c r="G205">
        <v>29</v>
      </c>
      <c r="H205" s="3">
        <f t="shared" si="21"/>
        <v>0.72499999999999998</v>
      </c>
      <c r="I205" s="4">
        <v>89</v>
      </c>
      <c r="J205" s="5">
        <f t="shared" si="22"/>
        <v>64.524999999999991</v>
      </c>
      <c r="K205" s="5">
        <f t="shared" si="23"/>
        <v>2581</v>
      </c>
      <c r="L205" t="s">
        <v>19</v>
      </c>
    </row>
    <row r="206" spans="1:12" x14ac:dyDescent="0.3">
      <c r="A206" s="2">
        <v>45496</v>
      </c>
      <c r="B206">
        <f t="shared" si="18"/>
        <v>7</v>
      </c>
      <c r="C206" t="str">
        <f t="shared" si="19"/>
        <v>July</v>
      </c>
      <c r="D206" t="str">
        <f t="shared" si="20"/>
        <v>Tuesday</v>
      </c>
      <c r="E206" t="s">
        <v>12</v>
      </c>
      <c r="F206">
        <v>40</v>
      </c>
      <c r="G206">
        <v>29</v>
      </c>
      <c r="H206" s="3">
        <f t="shared" si="21"/>
        <v>0.72499999999999998</v>
      </c>
      <c r="I206" s="4">
        <v>89</v>
      </c>
      <c r="J206" s="5">
        <f t="shared" si="22"/>
        <v>64.524999999999991</v>
      </c>
      <c r="K206" s="5">
        <f t="shared" si="23"/>
        <v>2581</v>
      </c>
      <c r="L206" t="s">
        <v>19</v>
      </c>
    </row>
    <row r="207" spans="1:12" x14ac:dyDescent="0.3">
      <c r="A207" s="2">
        <v>45497</v>
      </c>
      <c r="B207">
        <f t="shared" si="18"/>
        <v>7</v>
      </c>
      <c r="C207" t="str">
        <f t="shared" si="19"/>
        <v>July</v>
      </c>
      <c r="D207" t="str">
        <f t="shared" si="20"/>
        <v>Wednesday</v>
      </c>
      <c r="E207" t="s">
        <v>12</v>
      </c>
      <c r="F207">
        <v>40</v>
      </c>
      <c r="G207">
        <v>37</v>
      </c>
      <c r="H207" s="3">
        <f t="shared" si="21"/>
        <v>0.92500000000000004</v>
      </c>
      <c r="I207" s="4">
        <v>89</v>
      </c>
      <c r="J207" s="5">
        <f t="shared" si="22"/>
        <v>82.325000000000003</v>
      </c>
      <c r="K207" s="5">
        <f t="shared" si="23"/>
        <v>3293</v>
      </c>
      <c r="L207" t="s">
        <v>19</v>
      </c>
    </row>
    <row r="208" spans="1:12" x14ac:dyDescent="0.3">
      <c r="A208" s="2">
        <v>45498</v>
      </c>
      <c r="B208">
        <f t="shared" si="18"/>
        <v>7</v>
      </c>
      <c r="C208" t="str">
        <f t="shared" si="19"/>
        <v>July</v>
      </c>
      <c r="D208" t="str">
        <f t="shared" si="20"/>
        <v>Thursday</v>
      </c>
      <c r="E208" t="s">
        <v>12</v>
      </c>
      <c r="F208">
        <v>40</v>
      </c>
      <c r="G208">
        <v>37</v>
      </c>
      <c r="H208" s="3">
        <f t="shared" si="21"/>
        <v>0.92500000000000004</v>
      </c>
      <c r="I208" s="4">
        <v>89</v>
      </c>
      <c r="J208" s="5">
        <f t="shared" si="22"/>
        <v>82.325000000000003</v>
      </c>
      <c r="K208" s="5">
        <f t="shared" si="23"/>
        <v>3293</v>
      </c>
      <c r="L208" t="s">
        <v>19</v>
      </c>
    </row>
    <row r="209" spans="1:12" x14ac:dyDescent="0.3">
      <c r="A209" s="2">
        <v>45499</v>
      </c>
      <c r="B209">
        <f t="shared" si="18"/>
        <v>7</v>
      </c>
      <c r="C209" t="str">
        <f t="shared" si="19"/>
        <v>July</v>
      </c>
      <c r="D209" t="str">
        <f t="shared" si="20"/>
        <v>Friday</v>
      </c>
      <c r="E209" t="s">
        <v>12</v>
      </c>
      <c r="F209">
        <v>40</v>
      </c>
      <c r="G209">
        <v>37</v>
      </c>
      <c r="H209" s="3">
        <f t="shared" si="21"/>
        <v>0.92500000000000004</v>
      </c>
      <c r="I209" s="4">
        <v>89</v>
      </c>
      <c r="J209" s="5">
        <f t="shared" si="22"/>
        <v>82.325000000000003</v>
      </c>
      <c r="K209" s="5">
        <f t="shared" si="23"/>
        <v>3293</v>
      </c>
      <c r="L209" t="s">
        <v>19</v>
      </c>
    </row>
    <row r="210" spans="1:12" x14ac:dyDescent="0.3">
      <c r="A210" s="2">
        <v>45500</v>
      </c>
      <c r="B210">
        <f t="shared" si="18"/>
        <v>7</v>
      </c>
      <c r="C210" t="str">
        <f t="shared" si="19"/>
        <v>July</v>
      </c>
      <c r="D210" t="str">
        <f t="shared" si="20"/>
        <v>Saturday</v>
      </c>
      <c r="E210" t="s">
        <v>14</v>
      </c>
      <c r="F210">
        <v>15</v>
      </c>
      <c r="G210">
        <v>12</v>
      </c>
      <c r="H210" s="3">
        <f t="shared" si="21"/>
        <v>0.8</v>
      </c>
      <c r="I210" s="4">
        <v>89</v>
      </c>
      <c r="J210" s="5">
        <f t="shared" si="22"/>
        <v>71.2</v>
      </c>
      <c r="K210" s="5">
        <f t="shared" si="23"/>
        <v>1068</v>
      </c>
      <c r="L210" t="s">
        <v>19</v>
      </c>
    </row>
    <row r="211" spans="1:12" x14ac:dyDescent="0.3">
      <c r="A211" s="2">
        <v>45501</v>
      </c>
      <c r="B211">
        <f t="shared" si="18"/>
        <v>7</v>
      </c>
      <c r="C211" t="str">
        <f t="shared" si="19"/>
        <v>July</v>
      </c>
      <c r="D211" t="str">
        <f t="shared" si="20"/>
        <v>Sunday</v>
      </c>
      <c r="E211" t="s">
        <v>14</v>
      </c>
      <c r="F211">
        <v>15</v>
      </c>
      <c r="G211">
        <v>12</v>
      </c>
      <c r="H211" s="3">
        <f t="shared" si="21"/>
        <v>0.8</v>
      </c>
      <c r="I211" s="4">
        <v>89</v>
      </c>
      <c r="J211" s="5">
        <f t="shared" si="22"/>
        <v>71.2</v>
      </c>
      <c r="K211" s="5">
        <f t="shared" si="23"/>
        <v>1068</v>
      </c>
      <c r="L211" t="s">
        <v>19</v>
      </c>
    </row>
    <row r="212" spans="1:12" x14ac:dyDescent="0.3">
      <c r="A212" s="2">
        <v>45502</v>
      </c>
      <c r="B212">
        <f t="shared" si="18"/>
        <v>7</v>
      </c>
      <c r="C212" t="str">
        <f t="shared" si="19"/>
        <v>July</v>
      </c>
      <c r="D212" t="str">
        <f t="shared" si="20"/>
        <v>Monday</v>
      </c>
      <c r="E212" t="s">
        <v>14</v>
      </c>
      <c r="F212">
        <v>15</v>
      </c>
      <c r="G212">
        <v>14</v>
      </c>
      <c r="H212" s="3">
        <f t="shared" si="21"/>
        <v>0.93333333333333335</v>
      </c>
      <c r="I212" s="4">
        <v>89</v>
      </c>
      <c r="J212" s="5">
        <f t="shared" si="22"/>
        <v>83.066666666666663</v>
      </c>
      <c r="K212" s="5">
        <f t="shared" si="23"/>
        <v>1246</v>
      </c>
      <c r="L212" t="s">
        <v>19</v>
      </c>
    </row>
    <row r="213" spans="1:12" x14ac:dyDescent="0.3">
      <c r="A213" s="2">
        <v>45503</v>
      </c>
      <c r="B213">
        <f t="shared" si="18"/>
        <v>7</v>
      </c>
      <c r="C213" t="str">
        <f t="shared" si="19"/>
        <v>July</v>
      </c>
      <c r="D213" t="str">
        <f t="shared" si="20"/>
        <v>Tuesday</v>
      </c>
      <c r="E213" t="s">
        <v>14</v>
      </c>
      <c r="F213">
        <v>15</v>
      </c>
      <c r="G213">
        <v>13</v>
      </c>
      <c r="H213" s="3">
        <f t="shared" si="21"/>
        <v>0.8666666666666667</v>
      </c>
      <c r="I213" s="4">
        <v>89</v>
      </c>
      <c r="J213" s="5">
        <f t="shared" si="22"/>
        <v>77.13333333333334</v>
      </c>
      <c r="K213" s="5">
        <f t="shared" si="23"/>
        <v>1157</v>
      </c>
      <c r="L213" t="s">
        <v>19</v>
      </c>
    </row>
    <row r="214" spans="1:12" x14ac:dyDescent="0.3">
      <c r="A214" s="2">
        <v>45504</v>
      </c>
      <c r="B214">
        <f t="shared" si="18"/>
        <v>7</v>
      </c>
      <c r="C214" t="str">
        <f t="shared" si="19"/>
        <v>July</v>
      </c>
      <c r="D214" t="str">
        <f t="shared" si="20"/>
        <v>Wednesday</v>
      </c>
      <c r="E214" t="s">
        <v>14</v>
      </c>
      <c r="F214">
        <v>15</v>
      </c>
      <c r="G214">
        <v>10</v>
      </c>
      <c r="H214" s="3">
        <f t="shared" si="21"/>
        <v>0.66666666666666663</v>
      </c>
      <c r="I214" s="4">
        <v>89</v>
      </c>
      <c r="J214" s="5">
        <f t="shared" si="22"/>
        <v>59.333333333333329</v>
      </c>
      <c r="K214" s="5">
        <f t="shared" si="23"/>
        <v>890</v>
      </c>
      <c r="L214" t="s">
        <v>19</v>
      </c>
    </row>
    <row r="215" spans="1:12" x14ac:dyDescent="0.3">
      <c r="A215" s="2">
        <v>45505</v>
      </c>
      <c r="B215">
        <f t="shared" si="18"/>
        <v>8</v>
      </c>
      <c r="C215" t="str">
        <f t="shared" si="19"/>
        <v>August</v>
      </c>
      <c r="D215" t="str">
        <f t="shared" si="20"/>
        <v>Thursday</v>
      </c>
      <c r="E215" t="s">
        <v>14</v>
      </c>
      <c r="F215">
        <v>15</v>
      </c>
      <c r="G215">
        <v>10</v>
      </c>
      <c r="H215" s="3">
        <f t="shared" si="21"/>
        <v>0.66666666666666663</v>
      </c>
      <c r="I215" s="4">
        <v>89</v>
      </c>
      <c r="J215" s="5">
        <f t="shared" si="22"/>
        <v>59.333333333333329</v>
      </c>
      <c r="K215" s="5">
        <f t="shared" si="23"/>
        <v>890</v>
      </c>
      <c r="L215" t="s">
        <v>19</v>
      </c>
    </row>
    <row r="216" spans="1:12" x14ac:dyDescent="0.3">
      <c r="A216" s="2">
        <v>45506</v>
      </c>
      <c r="B216">
        <f t="shared" si="18"/>
        <v>8</v>
      </c>
      <c r="C216" t="str">
        <f t="shared" si="19"/>
        <v>August</v>
      </c>
      <c r="D216" t="str">
        <f t="shared" si="20"/>
        <v>Friday</v>
      </c>
      <c r="E216" t="s">
        <v>14</v>
      </c>
      <c r="F216">
        <v>15</v>
      </c>
      <c r="G216">
        <v>12</v>
      </c>
      <c r="H216" s="3">
        <f t="shared" si="21"/>
        <v>0.8</v>
      </c>
      <c r="I216" s="4">
        <v>89</v>
      </c>
      <c r="J216" s="5">
        <f t="shared" si="22"/>
        <v>71.2</v>
      </c>
      <c r="K216" s="5">
        <f t="shared" si="23"/>
        <v>1068</v>
      </c>
      <c r="L216" t="s">
        <v>19</v>
      </c>
    </row>
    <row r="217" spans="1:12" x14ac:dyDescent="0.3">
      <c r="A217" s="2">
        <v>45507</v>
      </c>
      <c r="B217">
        <f t="shared" si="18"/>
        <v>8</v>
      </c>
      <c r="C217" t="str">
        <f t="shared" si="19"/>
        <v>August</v>
      </c>
      <c r="D217" t="str">
        <f t="shared" si="20"/>
        <v>Saturday</v>
      </c>
      <c r="E217" t="s">
        <v>14</v>
      </c>
      <c r="F217">
        <v>15</v>
      </c>
      <c r="G217">
        <v>14</v>
      </c>
      <c r="H217" s="3">
        <f t="shared" si="21"/>
        <v>0.93333333333333335</v>
      </c>
      <c r="I217" s="4">
        <v>89</v>
      </c>
      <c r="J217" s="5">
        <f t="shared" si="22"/>
        <v>83.066666666666663</v>
      </c>
      <c r="K217" s="5">
        <f t="shared" si="23"/>
        <v>1246</v>
      </c>
      <c r="L217" t="s">
        <v>19</v>
      </c>
    </row>
    <row r="218" spans="1:12" x14ac:dyDescent="0.3">
      <c r="A218" s="2">
        <v>45508</v>
      </c>
      <c r="B218">
        <f t="shared" si="18"/>
        <v>8</v>
      </c>
      <c r="C218" t="str">
        <f t="shared" si="19"/>
        <v>August</v>
      </c>
      <c r="D218" t="str">
        <f t="shared" si="20"/>
        <v>Sunday</v>
      </c>
      <c r="E218" t="s">
        <v>14</v>
      </c>
      <c r="F218">
        <v>15</v>
      </c>
      <c r="G218">
        <v>11</v>
      </c>
      <c r="H218" s="3">
        <f t="shared" si="21"/>
        <v>0.73333333333333328</v>
      </c>
      <c r="I218" s="4">
        <v>89</v>
      </c>
      <c r="J218" s="5">
        <f t="shared" si="22"/>
        <v>65.266666666666666</v>
      </c>
      <c r="K218" s="5">
        <f t="shared" si="23"/>
        <v>979</v>
      </c>
      <c r="L218" t="s">
        <v>19</v>
      </c>
    </row>
    <row r="219" spans="1:12" x14ac:dyDescent="0.3">
      <c r="A219" s="2">
        <v>45509</v>
      </c>
      <c r="B219">
        <f t="shared" si="18"/>
        <v>8</v>
      </c>
      <c r="C219" t="str">
        <f t="shared" si="19"/>
        <v>August</v>
      </c>
      <c r="D219" t="str">
        <f t="shared" si="20"/>
        <v>Monday</v>
      </c>
      <c r="E219" t="s">
        <v>14</v>
      </c>
      <c r="F219">
        <v>15</v>
      </c>
      <c r="G219">
        <v>13</v>
      </c>
      <c r="H219" s="3">
        <f t="shared" si="21"/>
        <v>0.8666666666666667</v>
      </c>
      <c r="I219" s="4">
        <v>89</v>
      </c>
      <c r="J219" s="5">
        <f t="shared" si="22"/>
        <v>77.13333333333334</v>
      </c>
      <c r="K219" s="5">
        <f t="shared" si="23"/>
        <v>1157</v>
      </c>
      <c r="L219" t="s">
        <v>19</v>
      </c>
    </row>
    <row r="220" spans="1:12" x14ac:dyDescent="0.3">
      <c r="A220" s="2">
        <v>45510</v>
      </c>
      <c r="B220">
        <f t="shared" si="18"/>
        <v>8</v>
      </c>
      <c r="C220" t="str">
        <f t="shared" si="19"/>
        <v>August</v>
      </c>
      <c r="D220" t="str">
        <f t="shared" si="20"/>
        <v>Tuesday</v>
      </c>
      <c r="E220" t="s">
        <v>12</v>
      </c>
      <c r="F220">
        <v>40</v>
      </c>
      <c r="G220">
        <v>36</v>
      </c>
      <c r="H220" s="3">
        <f t="shared" si="21"/>
        <v>0.9</v>
      </c>
      <c r="I220" s="4">
        <v>89</v>
      </c>
      <c r="J220" s="5">
        <f t="shared" si="22"/>
        <v>80.100000000000009</v>
      </c>
      <c r="K220" s="5">
        <f t="shared" si="23"/>
        <v>3204</v>
      </c>
      <c r="L220" t="s">
        <v>19</v>
      </c>
    </row>
    <row r="221" spans="1:12" x14ac:dyDescent="0.3">
      <c r="A221" s="2">
        <v>45511</v>
      </c>
      <c r="B221">
        <f t="shared" si="18"/>
        <v>8</v>
      </c>
      <c r="C221" t="str">
        <f t="shared" si="19"/>
        <v>August</v>
      </c>
      <c r="D221" t="str">
        <f t="shared" si="20"/>
        <v>Wednesday</v>
      </c>
      <c r="E221" t="s">
        <v>12</v>
      </c>
      <c r="F221">
        <v>40</v>
      </c>
      <c r="G221">
        <v>27</v>
      </c>
      <c r="H221" s="3">
        <f t="shared" si="21"/>
        <v>0.67500000000000004</v>
      </c>
      <c r="I221" s="4">
        <v>89</v>
      </c>
      <c r="J221" s="5">
        <f t="shared" si="22"/>
        <v>60.075000000000003</v>
      </c>
      <c r="K221" s="5">
        <f t="shared" si="23"/>
        <v>2403</v>
      </c>
      <c r="L221" t="s">
        <v>19</v>
      </c>
    </row>
    <row r="222" spans="1:12" x14ac:dyDescent="0.3">
      <c r="A222" s="2">
        <v>45512</v>
      </c>
      <c r="B222">
        <f t="shared" si="18"/>
        <v>8</v>
      </c>
      <c r="C222" t="str">
        <f t="shared" si="19"/>
        <v>August</v>
      </c>
      <c r="D222" t="str">
        <f t="shared" si="20"/>
        <v>Thursday</v>
      </c>
      <c r="E222" t="s">
        <v>12</v>
      </c>
      <c r="F222">
        <v>40</v>
      </c>
      <c r="G222">
        <v>28</v>
      </c>
      <c r="H222" s="3">
        <f t="shared" si="21"/>
        <v>0.7</v>
      </c>
      <c r="I222" s="4">
        <v>89</v>
      </c>
      <c r="J222" s="5">
        <f t="shared" si="22"/>
        <v>62.3</v>
      </c>
      <c r="K222" s="5">
        <f t="shared" si="23"/>
        <v>2492</v>
      </c>
      <c r="L222" t="s">
        <v>19</v>
      </c>
    </row>
    <row r="223" spans="1:12" x14ac:dyDescent="0.3">
      <c r="A223" s="2">
        <v>45513</v>
      </c>
      <c r="B223">
        <f t="shared" si="18"/>
        <v>8</v>
      </c>
      <c r="C223" t="str">
        <f t="shared" si="19"/>
        <v>August</v>
      </c>
      <c r="D223" t="str">
        <f t="shared" si="20"/>
        <v>Friday</v>
      </c>
      <c r="E223" t="s">
        <v>12</v>
      </c>
      <c r="F223">
        <v>40</v>
      </c>
      <c r="G223">
        <v>37</v>
      </c>
      <c r="H223" s="3">
        <f t="shared" si="21"/>
        <v>0.92500000000000004</v>
      </c>
      <c r="I223" s="4">
        <v>89</v>
      </c>
      <c r="J223" s="5">
        <f t="shared" si="22"/>
        <v>82.325000000000003</v>
      </c>
      <c r="K223" s="5">
        <f t="shared" si="23"/>
        <v>3293</v>
      </c>
      <c r="L223" t="s">
        <v>19</v>
      </c>
    </row>
    <row r="224" spans="1:12" x14ac:dyDescent="0.3">
      <c r="A224" s="2">
        <v>45514</v>
      </c>
      <c r="B224">
        <f t="shared" si="18"/>
        <v>8</v>
      </c>
      <c r="C224" t="str">
        <f t="shared" si="19"/>
        <v>August</v>
      </c>
      <c r="D224" t="str">
        <f t="shared" si="20"/>
        <v>Saturday</v>
      </c>
      <c r="E224" t="s">
        <v>12</v>
      </c>
      <c r="F224">
        <v>40</v>
      </c>
      <c r="G224">
        <v>38</v>
      </c>
      <c r="H224" s="3">
        <f t="shared" si="21"/>
        <v>0.95</v>
      </c>
      <c r="I224" s="4">
        <v>89</v>
      </c>
      <c r="J224" s="5">
        <f t="shared" si="22"/>
        <v>84.55</v>
      </c>
      <c r="K224" s="5">
        <f t="shared" si="23"/>
        <v>3382</v>
      </c>
      <c r="L224" t="s">
        <v>19</v>
      </c>
    </row>
    <row r="225" spans="1:12" x14ac:dyDescent="0.3">
      <c r="A225" s="2">
        <v>45515</v>
      </c>
      <c r="B225">
        <f t="shared" si="18"/>
        <v>8</v>
      </c>
      <c r="C225" t="str">
        <f t="shared" si="19"/>
        <v>August</v>
      </c>
      <c r="D225" t="str">
        <f t="shared" si="20"/>
        <v>Sunday</v>
      </c>
      <c r="E225" t="s">
        <v>12</v>
      </c>
      <c r="F225">
        <v>40</v>
      </c>
      <c r="G225">
        <v>28</v>
      </c>
      <c r="H225" s="3">
        <f t="shared" si="21"/>
        <v>0.7</v>
      </c>
      <c r="I225" s="4">
        <v>89</v>
      </c>
      <c r="J225" s="5">
        <f t="shared" si="22"/>
        <v>62.3</v>
      </c>
      <c r="K225" s="5">
        <f t="shared" si="23"/>
        <v>2492</v>
      </c>
      <c r="L225" t="s">
        <v>19</v>
      </c>
    </row>
    <row r="226" spans="1:12" x14ac:dyDescent="0.3">
      <c r="A226" s="2">
        <v>45516</v>
      </c>
      <c r="B226">
        <f t="shared" si="18"/>
        <v>8</v>
      </c>
      <c r="C226" t="str">
        <f t="shared" si="19"/>
        <v>August</v>
      </c>
      <c r="D226" t="str">
        <f t="shared" si="20"/>
        <v>Monday</v>
      </c>
      <c r="E226" t="s">
        <v>12</v>
      </c>
      <c r="F226">
        <v>40</v>
      </c>
      <c r="G226">
        <v>30</v>
      </c>
      <c r="H226" s="3">
        <f t="shared" si="21"/>
        <v>0.75</v>
      </c>
      <c r="I226" s="4">
        <v>89</v>
      </c>
      <c r="J226" s="5">
        <f t="shared" si="22"/>
        <v>66.75</v>
      </c>
      <c r="K226" s="5">
        <f t="shared" si="23"/>
        <v>2670</v>
      </c>
      <c r="L226" t="s">
        <v>19</v>
      </c>
    </row>
    <row r="227" spans="1:12" x14ac:dyDescent="0.3">
      <c r="A227" s="2">
        <v>45517</v>
      </c>
      <c r="B227">
        <f t="shared" si="18"/>
        <v>8</v>
      </c>
      <c r="C227" t="str">
        <f t="shared" si="19"/>
        <v>August</v>
      </c>
      <c r="D227" t="str">
        <f t="shared" si="20"/>
        <v>Tuesday</v>
      </c>
      <c r="E227" t="s">
        <v>12</v>
      </c>
      <c r="F227">
        <v>40</v>
      </c>
      <c r="G227">
        <v>26</v>
      </c>
      <c r="H227" s="3">
        <f t="shared" si="21"/>
        <v>0.65</v>
      </c>
      <c r="I227" s="4">
        <v>89</v>
      </c>
      <c r="J227" s="5">
        <f t="shared" si="22"/>
        <v>57.85</v>
      </c>
      <c r="K227" s="5">
        <f t="shared" si="23"/>
        <v>2314</v>
      </c>
      <c r="L227" t="s">
        <v>19</v>
      </c>
    </row>
    <row r="228" spans="1:12" x14ac:dyDescent="0.3">
      <c r="A228" s="2">
        <v>45518</v>
      </c>
      <c r="B228">
        <f t="shared" si="18"/>
        <v>8</v>
      </c>
      <c r="C228" t="str">
        <f t="shared" si="19"/>
        <v>August</v>
      </c>
      <c r="D228" t="str">
        <f t="shared" si="20"/>
        <v>Wednesday</v>
      </c>
      <c r="E228" t="s">
        <v>12</v>
      </c>
      <c r="F228">
        <v>40</v>
      </c>
      <c r="G228">
        <v>31</v>
      </c>
      <c r="H228" s="3">
        <f t="shared" si="21"/>
        <v>0.77500000000000002</v>
      </c>
      <c r="I228" s="4">
        <v>89</v>
      </c>
      <c r="J228" s="5">
        <f t="shared" si="22"/>
        <v>68.975000000000009</v>
      </c>
      <c r="K228" s="5">
        <f t="shared" si="23"/>
        <v>2759</v>
      </c>
      <c r="L228" t="s">
        <v>19</v>
      </c>
    </row>
    <row r="229" spans="1:12" x14ac:dyDescent="0.3">
      <c r="A229" s="2">
        <v>45519</v>
      </c>
      <c r="B229">
        <f t="shared" si="18"/>
        <v>8</v>
      </c>
      <c r="C229" t="str">
        <f t="shared" si="19"/>
        <v>August</v>
      </c>
      <c r="D229" t="str">
        <f t="shared" si="20"/>
        <v>Thursday</v>
      </c>
      <c r="E229" t="s">
        <v>13</v>
      </c>
      <c r="F229">
        <v>30</v>
      </c>
      <c r="G229">
        <v>26</v>
      </c>
      <c r="H229" s="3">
        <f t="shared" si="21"/>
        <v>0.8666666666666667</v>
      </c>
      <c r="I229" s="4">
        <v>89</v>
      </c>
      <c r="J229" s="5">
        <f t="shared" si="22"/>
        <v>77.13333333333334</v>
      </c>
      <c r="K229" s="5">
        <f t="shared" si="23"/>
        <v>2314</v>
      </c>
      <c r="L229" t="s">
        <v>19</v>
      </c>
    </row>
    <row r="230" spans="1:12" x14ac:dyDescent="0.3">
      <c r="A230" s="2">
        <v>45520</v>
      </c>
      <c r="B230">
        <f t="shared" si="18"/>
        <v>8</v>
      </c>
      <c r="C230" t="str">
        <f t="shared" si="19"/>
        <v>August</v>
      </c>
      <c r="D230" t="str">
        <f t="shared" si="20"/>
        <v>Friday</v>
      </c>
      <c r="E230" t="s">
        <v>13</v>
      </c>
      <c r="F230">
        <v>30</v>
      </c>
      <c r="G230">
        <v>26</v>
      </c>
      <c r="H230" s="3">
        <f t="shared" si="21"/>
        <v>0.8666666666666667</v>
      </c>
      <c r="I230" s="4">
        <v>89</v>
      </c>
      <c r="J230" s="5">
        <f t="shared" si="22"/>
        <v>77.13333333333334</v>
      </c>
      <c r="K230" s="5">
        <f t="shared" si="23"/>
        <v>2314</v>
      </c>
      <c r="L230" t="s">
        <v>19</v>
      </c>
    </row>
    <row r="231" spans="1:12" x14ac:dyDescent="0.3">
      <c r="A231" s="2">
        <v>45521</v>
      </c>
      <c r="B231">
        <f t="shared" si="18"/>
        <v>8</v>
      </c>
      <c r="C231" t="str">
        <f t="shared" si="19"/>
        <v>August</v>
      </c>
      <c r="D231" t="str">
        <f t="shared" si="20"/>
        <v>Saturday</v>
      </c>
      <c r="E231" t="s">
        <v>13</v>
      </c>
      <c r="F231">
        <v>30</v>
      </c>
      <c r="G231">
        <v>24</v>
      </c>
      <c r="H231" s="3">
        <f t="shared" si="21"/>
        <v>0.8</v>
      </c>
      <c r="I231" s="4">
        <v>89</v>
      </c>
      <c r="J231" s="5">
        <f t="shared" si="22"/>
        <v>71.2</v>
      </c>
      <c r="K231" s="5">
        <f t="shared" si="23"/>
        <v>2136</v>
      </c>
      <c r="L231" t="s">
        <v>19</v>
      </c>
    </row>
    <row r="232" spans="1:12" x14ac:dyDescent="0.3">
      <c r="A232" s="2">
        <v>45522</v>
      </c>
      <c r="B232">
        <f t="shared" si="18"/>
        <v>8</v>
      </c>
      <c r="C232" t="str">
        <f t="shared" si="19"/>
        <v>August</v>
      </c>
      <c r="D232" t="str">
        <f t="shared" si="20"/>
        <v>Sunday</v>
      </c>
      <c r="E232" t="s">
        <v>13</v>
      </c>
      <c r="F232">
        <v>30</v>
      </c>
      <c r="G232">
        <v>29</v>
      </c>
      <c r="H232" s="3">
        <f t="shared" si="21"/>
        <v>0.96666666666666667</v>
      </c>
      <c r="I232" s="4">
        <v>89</v>
      </c>
      <c r="J232" s="5">
        <f t="shared" si="22"/>
        <v>86.033333333333331</v>
      </c>
      <c r="K232" s="5">
        <f t="shared" si="23"/>
        <v>2581</v>
      </c>
      <c r="L232" t="s">
        <v>19</v>
      </c>
    </row>
    <row r="233" spans="1:12" x14ac:dyDescent="0.3">
      <c r="A233" s="2">
        <v>45523</v>
      </c>
      <c r="B233">
        <f t="shared" si="18"/>
        <v>8</v>
      </c>
      <c r="C233" t="str">
        <f t="shared" si="19"/>
        <v>August</v>
      </c>
      <c r="D233" t="str">
        <f t="shared" si="20"/>
        <v>Monday</v>
      </c>
      <c r="E233" t="s">
        <v>13</v>
      </c>
      <c r="F233">
        <v>30</v>
      </c>
      <c r="G233">
        <v>27</v>
      </c>
      <c r="H233" s="3">
        <f t="shared" si="21"/>
        <v>0.9</v>
      </c>
      <c r="I233" s="4">
        <v>89</v>
      </c>
      <c r="J233" s="5">
        <f t="shared" si="22"/>
        <v>80.100000000000009</v>
      </c>
      <c r="K233" s="5">
        <f t="shared" si="23"/>
        <v>2403</v>
      </c>
      <c r="L233" t="s">
        <v>19</v>
      </c>
    </row>
    <row r="234" spans="1:12" x14ac:dyDescent="0.3">
      <c r="A234" s="2">
        <v>45524</v>
      </c>
      <c r="B234">
        <f t="shared" si="18"/>
        <v>8</v>
      </c>
      <c r="C234" t="str">
        <f t="shared" si="19"/>
        <v>August</v>
      </c>
      <c r="D234" t="str">
        <f t="shared" si="20"/>
        <v>Tuesday</v>
      </c>
      <c r="E234" t="s">
        <v>13</v>
      </c>
      <c r="F234">
        <v>30</v>
      </c>
      <c r="G234">
        <v>22</v>
      </c>
      <c r="H234" s="3">
        <f t="shared" si="21"/>
        <v>0.73333333333333328</v>
      </c>
      <c r="I234" s="4">
        <v>89</v>
      </c>
      <c r="J234" s="5">
        <f t="shared" si="22"/>
        <v>65.266666666666666</v>
      </c>
      <c r="K234" s="5">
        <f t="shared" si="23"/>
        <v>1958</v>
      </c>
      <c r="L234" t="s">
        <v>19</v>
      </c>
    </row>
    <row r="235" spans="1:12" x14ac:dyDescent="0.3">
      <c r="A235" s="2">
        <v>45525</v>
      </c>
      <c r="B235">
        <f t="shared" si="18"/>
        <v>8</v>
      </c>
      <c r="C235" t="str">
        <f t="shared" si="19"/>
        <v>August</v>
      </c>
      <c r="D235" t="str">
        <f t="shared" si="20"/>
        <v>Wednesday</v>
      </c>
      <c r="E235" t="s">
        <v>13</v>
      </c>
      <c r="F235">
        <v>30</v>
      </c>
      <c r="G235">
        <v>24</v>
      </c>
      <c r="H235" s="3">
        <f t="shared" si="21"/>
        <v>0.8</v>
      </c>
      <c r="I235" s="4">
        <v>89</v>
      </c>
      <c r="J235" s="5">
        <f t="shared" si="22"/>
        <v>71.2</v>
      </c>
      <c r="K235" s="5">
        <f t="shared" si="23"/>
        <v>2136</v>
      </c>
      <c r="L235" t="s">
        <v>19</v>
      </c>
    </row>
    <row r="236" spans="1:12" x14ac:dyDescent="0.3">
      <c r="A236" s="2">
        <v>45526</v>
      </c>
      <c r="B236">
        <f t="shared" si="18"/>
        <v>8</v>
      </c>
      <c r="C236" t="str">
        <f t="shared" si="19"/>
        <v>August</v>
      </c>
      <c r="D236" t="str">
        <f t="shared" si="20"/>
        <v>Thursday</v>
      </c>
      <c r="E236" t="s">
        <v>13</v>
      </c>
      <c r="F236">
        <v>30</v>
      </c>
      <c r="G236">
        <v>23</v>
      </c>
      <c r="H236" s="3">
        <f t="shared" si="21"/>
        <v>0.76666666666666672</v>
      </c>
      <c r="I236" s="4">
        <v>89</v>
      </c>
      <c r="J236" s="5">
        <f t="shared" si="22"/>
        <v>68.233333333333334</v>
      </c>
      <c r="K236" s="5">
        <f t="shared" si="23"/>
        <v>2047</v>
      </c>
      <c r="L236" t="s">
        <v>19</v>
      </c>
    </row>
    <row r="237" spans="1:12" x14ac:dyDescent="0.3">
      <c r="A237" s="2">
        <v>45527</v>
      </c>
      <c r="B237">
        <f t="shared" si="18"/>
        <v>8</v>
      </c>
      <c r="C237" t="str">
        <f t="shared" si="19"/>
        <v>August</v>
      </c>
      <c r="D237" t="str">
        <f t="shared" si="20"/>
        <v>Friday</v>
      </c>
      <c r="E237" t="s">
        <v>13</v>
      </c>
      <c r="F237">
        <v>30</v>
      </c>
      <c r="G237">
        <v>26</v>
      </c>
      <c r="H237" s="3">
        <f t="shared" si="21"/>
        <v>0.8666666666666667</v>
      </c>
      <c r="I237" s="4">
        <v>89</v>
      </c>
      <c r="J237" s="5">
        <f t="shared" si="22"/>
        <v>77.13333333333334</v>
      </c>
      <c r="K237" s="5">
        <f t="shared" si="23"/>
        <v>2314</v>
      </c>
      <c r="L237" t="s">
        <v>19</v>
      </c>
    </row>
    <row r="238" spans="1:12" x14ac:dyDescent="0.3">
      <c r="A238" s="2">
        <v>45528</v>
      </c>
      <c r="B238">
        <f t="shared" si="18"/>
        <v>8</v>
      </c>
      <c r="C238" t="str">
        <f t="shared" si="19"/>
        <v>August</v>
      </c>
      <c r="D238" t="str">
        <f t="shared" si="20"/>
        <v>Saturday</v>
      </c>
      <c r="E238" t="s">
        <v>13</v>
      </c>
      <c r="F238">
        <v>30</v>
      </c>
      <c r="G238">
        <v>27</v>
      </c>
      <c r="H238" s="3">
        <f t="shared" si="21"/>
        <v>0.9</v>
      </c>
      <c r="I238" s="4">
        <v>89</v>
      </c>
      <c r="J238" s="5">
        <f t="shared" si="22"/>
        <v>80.100000000000009</v>
      </c>
      <c r="K238" s="5">
        <f t="shared" si="23"/>
        <v>2403</v>
      </c>
      <c r="L238" t="s">
        <v>19</v>
      </c>
    </row>
    <row r="239" spans="1:12" x14ac:dyDescent="0.3">
      <c r="A239" s="2">
        <v>45529</v>
      </c>
      <c r="B239">
        <f t="shared" si="18"/>
        <v>8</v>
      </c>
      <c r="C239" t="str">
        <f t="shared" si="19"/>
        <v>August</v>
      </c>
      <c r="D239" t="str">
        <f t="shared" si="20"/>
        <v>Sunday</v>
      </c>
      <c r="E239" t="s">
        <v>13</v>
      </c>
      <c r="F239">
        <v>30</v>
      </c>
      <c r="G239">
        <v>24</v>
      </c>
      <c r="H239" s="3">
        <f t="shared" si="21"/>
        <v>0.8</v>
      </c>
      <c r="I239" s="4">
        <v>89</v>
      </c>
      <c r="J239" s="5">
        <f t="shared" si="22"/>
        <v>71.2</v>
      </c>
      <c r="K239" s="5">
        <f t="shared" si="23"/>
        <v>2136</v>
      </c>
      <c r="L239" t="s">
        <v>19</v>
      </c>
    </row>
    <row r="240" spans="1:12" x14ac:dyDescent="0.3">
      <c r="A240" s="2">
        <v>45530</v>
      </c>
      <c r="B240">
        <f t="shared" si="18"/>
        <v>8</v>
      </c>
      <c r="C240" t="str">
        <f t="shared" si="19"/>
        <v>August</v>
      </c>
      <c r="D240" t="str">
        <f t="shared" si="20"/>
        <v>Monday</v>
      </c>
      <c r="E240" t="s">
        <v>12</v>
      </c>
      <c r="F240">
        <v>40</v>
      </c>
      <c r="G240">
        <v>36</v>
      </c>
      <c r="H240" s="3">
        <f t="shared" si="21"/>
        <v>0.9</v>
      </c>
      <c r="I240" s="4">
        <v>89</v>
      </c>
      <c r="J240" s="5">
        <f t="shared" si="22"/>
        <v>80.100000000000009</v>
      </c>
      <c r="K240" s="5">
        <f t="shared" si="23"/>
        <v>3204</v>
      </c>
      <c r="L240" t="s">
        <v>19</v>
      </c>
    </row>
    <row r="241" spans="1:12" x14ac:dyDescent="0.3">
      <c r="A241" s="2">
        <v>45531</v>
      </c>
      <c r="B241">
        <f t="shared" si="18"/>
        <v>8</v>
      </c>
      <c r="C241" t="str">
        <f t="shared" si="19"/>
        <v>August</v>
      </c>
      <c r="D241" t="str">
        <f t="shared" si="20"/>
        <v>Tuesday</v>
      </c>
      <c r="E241" t="s">
        <v>12</v>
      </c>
      <c r="F241">
        <v>40</v>
      </c>
      <c r="G241">
        <v>24</v>
      </c>
      <c r="H241" s="3">
        <f t="shared" si="21"/>
        <v>0.6</v>
      </c>
      <c r="I241" s="4">
        <v>89</v>
      </c>
      <c r="J241" s="5">
        <f t="shared" si="22"/>
        <v>53.4</v>
      </c>
      <c r="K241" s="5">
        <f t="shared" si="23"/>
        <v>2136</v>
      </c>
      <c r="L241" t="s">
        <v>19</v>
      </c>
    </row>
    <row r="242" spans="1:12" x14ac:dyDescent="0.3">
      <c r="A242" s="2">
        <v>45532</v>
      </c>
      <c r="B242">
        <f t="shared" si="18"/>
        <v>8</v>
      </c>
      <c r="C242" t="str">
        <f t="shared" si="19"/>
        <v>August</v>
      </c>
      <c r="D242" t="str">
        <f t="shared" si="20"/>
        <v>Wednesday</v>
      </c>
      <c r="E242" t="s">
        <v>12</v>
      </c>
      <c r="F242">
        <v>40</v>
      </c>
      <c r="G242">
        <v>31</v>
      </c>
      <c r="H242" s="3">
        <f t="shared" si="21"/>
        <v>0.77500000000000002</v>
      </c>
      <c r="I242" s="4">
        <v>89</v>
      </c>
      <c r="J242" s="5">
        <f t="shared" si="22"/>
        <v>68.975000000000009</v>
      </c>
      <c r="K242" s="5">
        <f t="shared" si="23"/>
        <v>2759</v>
      </c>
      <c r="L242" t="s">
        <v>19</v>
      </c>
    </row>
    <row r="243" spans="1:12" x14ac:dyDescent="0.3">
      <c r="A243" s="2">
        <v>45533</v>
      </c>
      <c r="B243">
        <f t="shared" si="18"/>
        <v>8</v>
      </c>
      <c r="C243" t="str">
        <f t="shared" si="19"/>
        <v>August</v>
      </c>
      <c r="D243" t="str">
        <f t="shared" si="20"/>
        <v>Thursday</v>
      </c>
      <c r="E243" t="s">
        <v>12</v>
      </c>
      <c r="F243">
        <v>40</v>
      </c>
      <c r="G243">
        <v>31</v>
      </c>
      <c r="H243" s="3">
        <f t="shared" si="21"/>
        <v>0.77500000000000002</v>
      </c>
      <c r="I243" s="4">
        <v>89</v>
      </c>
      <c r="J243" s="5">
        <f t="shared" si="22"/>
        <v>68.975000000000009</v>
      </c>
      <c r="K243" s="5">
        <f t="shared" si="23"/>
        <v>2759</v>
      </c>
      <c r="L243" t="s">
        <v>19</v>
      </c>
    </row>
    <row r="244" spans="1:12" x14ac:dyDescent="0.3">
      <c r="A244" s="2">
        <v>45534</v>
      </c>
      <c r="B244">
        <f t="shared" si="18"/>
        <v>8</v>
      </c>
      <c r="C244" t="str">
        <f t="shared" si="19"/>
        <v>August</v>
      </c>
      <c r="D244" t="str">
        <f t="shared" si="20"/>
        <v>Friday</v>
      </c>
      <c r="E244" t="s">
        <v>16</v>
      </c>
      <c r="F244">
        <v>5</v>
      </c>
      <c r="G244">
        <v>4</v>
      </c>
      <c r="H244" s="3">
        <f t="shared" si="21"/>
        <v>0.8</v>
      </c>
      <c r="I244" s="4">
        <v>89</v>
      </c>
      <c r="J244" s="5">
        <f t="shared" si="22"/>
        <v>71.2</v>
      </c>
      <c r="K244" s="5">
        <f t="shared" si="23"/>
        <v>356</v>
      </c>
      <c r="L244" t="s">
        <v>19</v>
      </c>
    </row>
    <row r="245" spans="1:12" x14ac:dyDescent="0.3">
      <c r="A245" s="2">
        <v>45535</v>
      </c>
      <c r="B245">
        <f t="shared" si="18"/>
        <v>8</v>
      </c>
      <c r="C245" t="str">
        <f t="shared" si="19"/>
        <v>August</v>
      </c>
      <c r="D245" t="str">
        <f t="shared" si="20"/>
        <v>Saturday</v>
      </c>
      <c r="E245" t="s">
        <v>16</v>
      </c>
      <c r="F245">
        <v>5</v>
      </c>
      <c r="G245">
        <v>3</v>
      </c>
      <c r="H245" s="3">
        <f t="shared" si="21"/>
        <v>0.6</v>
      </c>
      <c r="I245" s="4">
        <v>89</v>
      </c>
      <c r="J245" s="5">
        <f t="shared" si="22"/>
        <v>53.4</v>
      </c>
      <c r="K245" s="5">
        <f t="shared" si="23"/>
        <v>267</v>
      </c>
      <c r="L245" t="s">
        <v>19</v>
      </c>
    </row>
    <row r="246" spans="1:12" x14ac:dyDescent="0.3">
      <c r="A246" s="2">
        <v>45536</v>
      </c>
      <c r="B246">
        <f t="shared" si="18"/>
        <v>9</v>
      </c>
      <c r="C246" t="str">
        <f t="shared" si="19"/>
        <v>September</v>
      </c>
      <c r="D246" t="str">
        <f t="shared" si="20"/>
        <v>Sunday</v>
      </c>
      <c r="E246" t="s">
        <v>16</v>
      </c>
      <c r="F246">
        <v>5</v>
      </c>
      <c r="G246">
        <v>5</v>
      </c>
      <c r="H246" s="3">
        <f t="shared" si="21"/>
        <v>1</v>
      </c>
      <c r="I246" s="4">
        <v>89</v>
      </c>
      <c r="J246" s="5">
        <f t="shared" si="22"/>
        <v>89</v>
      </c>
      <c r="K246" s="5">
        <f t="shared" si="23"/>
        <v>445</v>
      </c>
      <c r="L246" t="s">
        <v>19</v>
      </c>
    </row>
    <row r="247" spans="1:12" x14ac:dyDescent="0.3">
      <c r="A247" s="2">
        <v>45537</v>
      </c>
      <c r="B247">
        <f t="shared" si="18"/>
        <v>9</v>
      </c>
      <c r="C247" t="str">
        <f t="shared" si="19"/>
        <v>September</v>
      </c>
      <c r="D247" t="str">
        <f t="shared" si="20"/>
        <v>Monday</v>
      </c>
      <c r="E247" t="s">
        <v>16</v>
      </c>
      <c r="F247">
        <v>5</v>
      </c>
      <c r="G247">
        <v>3</v>
      </c>
      <c r="H247" s="3">
        <f t="shared" si="21"/>
        <v>0.6</v>
      </c>
      <c r="I247" s="4">
        <v>89</v>
      </c>
      <c r="J247" s="5">
        <f t="shared" si="22"/>
        <v>53.4</v>
      </c>
      <c r="K247" s="5">
        <f t="shared" si="23"/>
        <v>267</v>
      </c>
      <c r="L247" t="s">
        <v>19</v>
      </c>
    </row>
    <row r="248" spans="1:12" x14ac:dyDescent="0.3">
      <c r="A248" s="2">
        <v>45538</v>
      </c>
      <c r="B248">
        <f t="shared" si="18"/>
        <v>9</v>
      </c>
      <c r="C248" t="str">
        <f t="shared" si="19"/>
        <v>September</v>
      </c>
      <c r="D248" t="str">
        <f t="shared" si="20"/>
        <v>Tuesday</v>
      </c>
      <c r="E248" t="s">
        <v>16</v>
      </c>
      <c r="F248">
        <v>5</v>
      </c>
      <c r="G248">
        <v>4</v>
      </c>
      <c r="H248" s="3">
        <f t="shared" si="21"/>
        <v>0.8</v>
      </c>
      <c r="I248" s="4">
        <v>89</v>
      </c>
      <c r="J248" s="5">
        <f t="shared" si="22"/>
        <v>71.2</v>
      </c>
      <c r="K248" s="5">
        <f t="shared" si="23"/>
        <v>356</v>
      </c>
      <c r="L248" t="s">
        <v>19</v>
      </c>
    </row>
    <row r="249" spans="1:12" x14ac:dyDescent="0.3">
      <c r="A249" s="2">
        <v>45539</v>
      </c>
      <c r="B249">
        <f t="shared" si="18"/>
        <v>9</v>
      </c>
      <c r="C249" t="str">
        <f t="shared" si="19"/>
        <v>September</v>
      </c>
      <c r="D249" t="str">
        <f t="shared" si="20"/>
        <v>Wednesday</v>
      </c>
      <c r="E249" t="s">
        <v>16</v>
      </c>
      <c r="F249">
        <v>5</v>
      </c>
      <c r="G249">
        <v>4</v>
      </c>
      <c r="H249" s="3">
        <f t="shared" si="21"/>
        <v>0.8</v>
      </c>
      <c r="I249" s="4">
        <v>89</v>
      </c>
      <c r="J249" s="5">
        <f t="shared" si="22"/>
        <v>71.2</v>
      </c>
      <c r="K249" s="5">
        <f t="shared" si="23"/>
        <v>356</v>
      </c>
      <c r="L249" t="s">
        <v>19</v>
      </c>
    </row>
    <row r="250" spans="1:12" x14ac:dyDescent="0.3">
      <c r="A250" s="2">
        <v>45540</v>
      </c>
      <c r="B250">
        <f t="shared" si="18"/>
        <v>9</v>
      </c>
      <c r="C250" t="str">
        <f t="shared" si="19"/>
        <v>September</v>
      </c>
      <c r="D250" t="str">
        <f t="shared" si="20"/>
        <v>Thursday</v>
      </c>
      <c r="E250" t="s">
        <v>16</v>
      </c>
      <c r="F250">
        <v>5</v>
      </c>
      <c r="G250">
        <v>3</v>
      </c>
      <c r="H250" s="3">
        <f t="shared" si="21"/>
        <v>0.6</v>
      </c>
      <c r="I250" s="4">
        <v>89</v>
      </c>
      <c r="J250" s="5">
        <f t="shared" si="22"/>
        <v>53.4</v>
      </c>
      <c r="K250" s="5">
        <f t="shared" si="23"/>
        <v>267</v>
      </c>
      <c r="L250" t="s">
        <v>19</v>
      </c>
    </row>
    <row r="251" spans="1:12" x14ac:dyDescent="0.3">
      <c r="A251" s="2">
        <v>45541</v>
      </c>
      <c r="B251">
        <f t="shared" si="18"/>
        <v>9</v>
      </c>
      <c r="C251" t="str">
        <f t="shared" si="19"/>
        <v>September</v>
      </c>
      <c r="D251" t="str">
        <f t="shared" si="20"/>
        <v>Friday</v>
      </c>
      <c r="E251" t="s">
        <v>16</v>
      </c>
      <c r="F251">
        <v>5</v>
      </c>
      <c r="G251">
        <v>4</v>
      </c>
      <c r="H251" s="3">
        <f t="shared" si="21"/>
        <v>0.8</v>
      </c>
      <c r="I251" s="4">
        <v>89</v>
      </c>
      <c r="J251" s="5">
        <f t="shared" si="22"/>
        <v>71.2</v>
      </c>
      <c r="K251" s="5">
        <f t="shared" si="23"/>
        <v>356</v>
      </c>
      <c r="L251" t="s">
        <v>19</v>
      </c>
    </row>
    <row r="252" spans="1:12" x14ac:dyDescent="0.3">
      <c r="A252" s="2">
        <v>45542</v>
      </c>
      <c r="B252">
        <f t="shared" si="18"/>
        <v>9</v>
      </c>
      <c r="C252" t="str">
        <f t="shared" si="19"/>
        <v>September</v>
      </c>
      <c r="D252" t="str">
        <f t="shared" si="20"/>
        <v>Saturday</v>
      </c>
      <c r="E252" t="s">
        <v>16</v>
      </c>
      <c r="F252">
        <v>5</v>
      </c>
      <c r="G252">
        <v>4</v>
      </c>
      <c r="H252" s="3">
        <f t="shared" si="21"/>
        <v>0.8</v>
      </c>
      <c r="I252" s="4">
        <v>89</v>
      </c>
      <c r="J252" s="5">
        <f t="shared" si="22"/>
        <v>71.2</v>
      </c>
      <c r="K252" s="5">
        <f t="shared" si="23"/>
        <v>356</v>
      </c>
      <c r="L252" t="s">
        <v>19</v>
      </c>
    </row>
    <row r="253" spans="1:12" x14ac:dyDescent="0.3">
      <c r="A253" s="2">
        <v>45543</v>
      </c>
      <c r="B253">
        <f t="shared" si="18"/>
        <v>9</v>
      </c>
      <c r="C253" t="str">
        <f t="shared" si="19"/>
        <v>September</v>
      </c>
      <c r="D253" t="str">
        <f t="shared" si="20"/>
        <v>Sunday</v>
      </c>
      <c r="E253" t="s">
        <v>16</v>
      </c>
      <c r="F253">
        <v>5</v>
      </c>
      <c r="G253">
        <v>3</v>
      </c>
      <c r="H253" s="3">
        <f t="shared" si="21"/>
        <v>0.6</v>
      </c>
      <c r="I253" s="4">
        <v>89</v>
      </c>
      <c r="J253" s="5">
        <f t="shared" si="22"/>
        <v>53.4</v>
      </c>
      <c r="K253" s="5">
        <f t="shared" si="23"/>
        <v>267</v>
      </c>
      <c r="L253" t="s">
        <v>19</v>
      </c>
    </row>
    <row r="254" spans="1:12" x14ac:dyDescent="0.3">
      <c r="A254" s="2">
        <v>45544</v>
      </c>
      <c r="B254">
        <f t="shared" si="18"/>
        <v>9</v>
      </c>
      <c r="C254" t="str">
        <f t="shared" si="19"/>
        <v>September</v>
      </c>
      <c r="D254" t="str">
        <f t="shared" si="20"/>
        <v>Monday</v>
      </c>
      <c r="E254" t="s">
        <v>16</v>
      </c>
      <c r="F254">
        <v>5</v>
      </c>
      <c r="G254">
        <v>4</v>
      </c>
      <c r="H254" s="3">
        <f t="shared" si="21"/>
        <v>0.8</v>
      </c>
      <c r="I254" s="4">
        <v>89</v>
      </c>
      <c r="J254" s="5">
        <f t="shared" si="22"/>
        <v>71.2</v>
      </c>
      <c r="K254" s="5">
        <f t="shared" si="23"/>
        <v>356</v>
      </c>
      <c r="L254" t="s">
        <v>19</v>
      </c>
    </row>
    <row r="255" spans="1:12" x14ac:dyDescent="0.3">
      <c r="A255" s="2">
        <v>45545</v>
      </c>
      <c r="B255">
        <f t="shared" si="18"/>
        <v>9</v>
      </c>
      <c r="C255" t="str">
        <f t="shared" si="19"/>
        <v>September</v>
      </c>
      <c r="D255" t="str">
        <f t="shared" si="20"/>
        <v>Tuesday</v>
      </c>
      <c r="E255" t="s">
        <v>16</v>
      </c>
      <c r="F255">
        <v>5</v>
      </c>
      <c r="G255">
        <v>5</v>
      </c>
      <c r="H255" s="3">
        <f t="shared" si="21"/>
        <v>1</v>
      </c>
      <c r="I255" s="4">
        <v>89</v>
      </c>
      <c r="J255" s="5">
        <f t="shared" si="22"/>
        <v>89</v>
      </c>
      <c r="K255" s="5">
        <f t="shared" si="23"/>
        <v>445</v>
      </c>
      <c r="L255" t="s">
        <v>19</v>
      </c>
    </row>
    <row r="256" spans="1:12" x14ac:dyDescent="0.3">
      <c r="A256" s="2">
        <v>45546</v>
      </c>
      <c r="B256">
        <f t="shared" si="18"/>
        <v>9</v>
      </c>
      <c r="C256" t="str">
        <f t="shared" si="19"/>
        <v>September</v>
      </c>
      <c r="D256" t="str">
        <f t="shared" si="20"/>
        <v>Wednesday</v>
      </c>
      <c r="E256" t="s">
        <v>16</v>
      </c>
      <c r="F256">
        <v>5</v>
      </c>
      <c r="G256">
        <v>3</v>
      </c>
      <c r="H256" s="3">
        <f t="shared" si="21"/>
        <v>0.6</v>
      </c>
      <c r="I256" s="4">
        <v>89</v>
      </c>
      <c r="J256" s="5">
        <f t="shared" si="22"/>
        <v>53.4</v>
      </c>
      <c r="K256" s="5">
        <f t="shared" si="23"/>
        <v>267</v>
      </c>
      <c r="L256" t="s">
        <v>19</v>
      </c>
    </row>
    <row r="257" spans="1:12" x14ac:dyDescent="0.3">
      <c r="A257" s="2">
        <v>45547</v>
      </c>
      <c r="B257">
        <f t="shared" si="18"/>
        <v>9</v>
      </c>
      <c r="C257" t="str">
        <f t="shared" si="19"/>
        <v>September</v>
      </c>
      <c r="D257" t="str">
        <f t="shared" si="20"/>
        <v>Thursday</v>
      </c>
      <c r="E257" t="s">
        <v>16</v>
      </c>
      <c r="F257">
        <v>5</v>
      </c>
      <c r="G257">
        <v>4</v>
      </c>
      <c r="H257" s="3">
        <f t="shared" si="21"/>
        <v>0.8</v>
      </c>
      <c r="I257" s="4">
        <v>89</v>
      </c>
      <c r="J257" s="5">
        <f t="shared" si="22"/>
        <v>71.2</v>
      </c>
      <c r="K257" s="5">
        <f t="shared" si="23"/>
        <v>356</v>
      </c>
      <c r="L257" t="s">
        <v>19</v>
      </c>
    </row>
    <row r="258" spans="1:12" x14ac:dyDescent="0.3">
      <c r="A258" s="2">
        <v>45548</v>
      </c>
      <c r="B258">
        <f t="shared" si="18"/>
        <v>9</v>
      </c>
      <c r="C258" t="str">
        <f t="shared" si="19"/>
        <v>September</v>
      </c>
      <c r="D258" t="str">
        <f t="shared" si="20"/>
        <v>Friday</v>
      </c>
      <c r="E258" t="s">
        <v>12</v>
      </c>
      <c r="F258">
        <v>40</v>
      </c>
      <c r="G258">
        <v>24</v>
      </c>
      <c r="H258" s="3">
        <f t="shared" si="21"/>
        <v>0.6</v>
      </c>
      <c r="I258" s="4">
        <v>89</v>
      </c>
      <c r="J258" s="5">
        <f t="shared" si="22"/>
        <v>53.4</v>
      </c>
      <c r="K258" s="5">
        <f t="shared" si="23"/>
        <v>2136</v>
      </c>
      <c r="L258" t="s">
        <v>19</v>
      </c>
    </row>
    <row r="259" spans="1:12" x14ac:dyDescent="0.3">
      <c r="A259" s="2">
        <v>45549</v>
      </c>
      <c r="B259">
        <f t="shared" ref="B259:B322" si="24">MONTH(A259)</f>
        <v>9</v>
      </c>
      <c r="C259" t="str">
        <f t="shared" ref="C259:C322" si="25">TEXT(A259,"MMMM")</f>
        <v>September</v>
      </c>
      <c r="D259" t="str">
        <f t="shared" ref="D259:D322" si="26">TEXT(A259,"dddd")</f>
        <v>Saturday</v>
      </c>
      <c r="E259" t="s">
        <v>12</v>
      </c>
      <c r="F259">
        <v>40</v>
      </c>
      <c r="G259">
        <v>27</v>
      </c>
      <c r="H259" s="3">
        <f t="shared" ref="H259:H322" si="27">G259/F259</f>
        <v>0.67500000000000004</v>
      </c>
      <c r="I259" s="4">
        <v>89</v>
      </c>
      <c r="J259" s="5">
        <f t="shared" ref="J259:J322" si="28">I259*H259</f>
        <v>60.075000000000003</v>
      </c>
      <c r="K259" s="5">
        <f t="shared" ref="K259:K322" si="29">I259*G259</f>
        <v>2403</v>
      </c>
      <c r="L259" t="s">
        <v>19</v>
      </c>
    </row>
    <row r="260" spans="1:12" x14ac:dyDescent="0.3">
      <c r="A260" s="2">
        <v>45550</v>
      </c>
      <c r="B260">
        <f t="shared" si="24"/>
        <v>9</v>
      </c>
      <c r="C260" t="str">
        <f t="shared" si="25"/>
        <v>September</v>
      </c>
      <c r="D260" t="str">
        <f t="shared" si="26"/>
        <v>Sunday</v>
      </c>
      <c r="E260" t="s">
        <v>12</v>
      </c>
      <c r="F260">
        <v>40</v>
      </c>
      <c r="G260">
        <v>25</v>
      </c>
      <c r="H260" s="3">
        <f t="shared" si="27"/>
        <v>0.625</v>
      </c>
      <c r="I260" s="4">
        <v>89</v>
      </c>
      <c r="J260" s="5">
        <f t="shared" si="28"/>
        <v>55.625</v>
      </c>
      <c r="K260" s="5">
        <f t="shared" si="29"/>
        <v>2225</v>
      </c>
      <c r="L260" t="s">
        <v>19</v>
      </c>
    </row>
    <row r="261" spans="1:12" x14ac:dyDescent="0.3">
      <c r="A261" s="2">
        <v>45551</v>
      </c>
      <c r="B261">
        <f t="shared" si="24"/>
        <v>9</v>
      </c>
      <c r="C261" t="str">
        <f t="shared" si="25"/>
        <v>September</v>
      </c>
      <c r="D261" t="str">
        <f t="shared" si="26"/>
        <v>Monday</v>
      </c>
      <c r="E261" t="s">
        <v>12</v>
      </c>
      <c r="F261">
        <v>40</v>
      </c>
      <c r="G261">
        <v>38</v>
      </c>
      <c r="H261" s="3">
        <f t="shared" si="27"/>
        <v>0.95</v>
      </c>
      <c r="I261" s="4">
        <v>89</v>
      </c>
      <c r="J261" s="5">
        <f t="shared" si="28"/>
        <v>84.55</v>
      </c>
      <c r="K261" s="5">
        <f t="shared" si="29"/>
        <v>3382</v>
      </c>
      <c r="L261" t="s">
        <v>20</v>
      </c>
    </row>
    <row r="262" spans="1:12" x14ac:dyDescent="0.3">
      <c r="A262" s="2">
        <v>45552</v>
      </c>
      <c r="B262">
        <f t="shared" si="24"/>
        <v>9</v>
      </c>
      <c r="C262" t="str">
        <f t="shared" si="25"/>
        <v>September</v>
      </c>
      <c r="D262" t="str">
        <f t="shared" si="26"/>
        <v>Tuesday</v>
      </c>
      <c r="E262" t="s">
        <v>12</v>
      </c>
      <c r="F262">
        <v>40</v>
      </c>
      <c r="G262">
        <v>28</v>
      </c>
      <c r="H262" s="3">
        <f t="shared" si="27"/>
        <v>0.7</v>
      </c>
      <c r="I262" s="4">
        <v>89</v>
      </c>
      <c r="J262" s="5">
        <f t="shared" si="28"/>
        <v>62.3</v>
      </c>
      <c r="K262" s="5">
        <f t="shared" si="29"/>
        <v>2492</v>
      </c>
      <c r="L262" t="s">
        <v>20</v>
      </c>
    </row>
    <row r="263" spans="1:12" x14ac:dyDescent="0.3">
      <c r="A263" s="2">
        <v>45553</v>
      </c>
      <c r="B263">
        <f t="shared" si="24"/>
        <v>9</v>
      </c>
      <c r="C263" t="str">
        <f t="shared" si="25"/>
        <v>September</v>
      </c>
      <c r="D263" t="str">
        <f t="shared" si="26"/>
        <v>Wednesday</v>
      </c>
      <c r="E263" t="s">
        <v>12</v>
      </c>
      <c r="F263">
        <v>40</v>
      </c>
      <c r="G263">
        <v>32</v>
      </c>
      <c r="H263" s="3">
        <f t="shared" si="27"/>
        <v>0.8</v>
      </c>
      <c r="I263" s="4">
        <v>89</v>
      </c>
      <c r="J263" s="5">
        <f t="shared" si="28"/>
        <v>71.2</v>
      </c>
      <c r="K263" s="5">
        <f t="shared" si="29"/>
        <v>2848</v>
      </c>
      <c r="L263" t="s">
        <v>20</v>
      </c>
    </row>
    <row r="264" spans="1:12" x14ac:dyDescent="0.3">
      <c r="A264" s="2">
        <v>45554</v>
      </c>
      <c r="B264">
        <f t="shared" si="24"/>
        <v>9</v>
      </c>
      <c r="C264" t="str">
        <f t="shared" si="25"/>
        <v>September</v>
      </c>
      <c r="D264" t="str">
        <f t="shared" si="26"/>
        <v>Thursday</v>
      </c>
      <c r="E264" t="s">
        <v>12</v>
      </c>
      <c r="F264">
        <v>40</v>
      </c>
      <c r="G264">
        <v>26</v>
      </c>
      <c r="H264" s="3">
        <f t="shared" si="27"/>
        <v>0.65</v>
      </c>
      <c r="I264" s="4">
        <v>89</v>
      </c>
      <c r="J264" s="5">
        <f t="shared" si="28"/>
        <v>57.85</v>
      </c>
      <c r="K264" s="5">
        <f t="shared" si="29"/>
        <v>2314</v>
      </c>
      <c r="L264" t="s">
        <v>20</v>
      </c>
    </row>
    <row r="265" spans="1:12" x14ac:dyDescent="0.3">
      <c r="A265" s="2">
        <v>45555</v>
      </c>
      <c r="B265">
        <f t="shared" si="24"/>
        <v>9</v>
      </c>
      <c r="C265" t="str">
        <f t="shared" si="25"/>
        <v>September</v>
      </c>
      <c r="D265" t="str">
        <f t="shared" si="26"/>
        <v>Friday</v>
      </c>
      <c r="E265" t="s">
        <v>12</v>
      </c>
      <c r="F265">
        <v>40</v>
      </c>
      <c r="G265">
        <v>38</v>
      </c>
      <c r="H265" s="3">
        <f t="shared" si="27"/>
        <v>0.95</v>
      </c>
      <c r="I265" s="4">
        <v>89</v>
      </c>
      <c r="J265" s="5">
        <f t="shared" si="28"/>
        <v>84.55</v>
      </c>
      <c r="K265" s="5">
        <f t="shared" si="29"/>
        <v>3382</v>
      </c>
      <c r="L265" t="s">
        <v>20</v>
      </c>
    </row>
    <row r="266" spans="1:12" x14ac:dyDescent="0.3">
      <c r="A266" s="2">
        <v>45556</v>
      </c>
      <c r="B266">
        <f t="shared" si="24"/>
        <v>9</v>
      </c>
      <c r="C266" t="str">
        <f t="shared" si="25"/>
        <v>September</v>
      </c>
      <c r="D266" t="str">
        <f t="shared" si="26"/>
        <v>Saturday</v>
      </c>
      <c r="E266" t="s">
        <v>12</v>
      </c>
      <c r="F266">
        <v>40</v>
      </c>
      <c r="G266">
        <v>25</v>
      </c>
      <c r="H266" s="3">
        <f t="shared" si="27"/>
        <v>0.625</v>
      </c>
      <c r="I266" s="4">
        <v>89</v>
      </c>
      <c r="J266" s="5">
        <f t="shared" si="28"/>
        <v>55.625</v>
      </c>
      <c r="K266" s="5">
        <f t="shared" si="29"/>
        <v>2225</v>
      </c>
      <c r="L266" t="s">
        <v>20</v>
      </c>
    </row>
    <row r="267" spans="1:12" x14ac:dyDescent="0.3">
      <c r="A267" s="2">
        <v>45557</v>
      </c>
      <c r="B267">
        <f t="shared" si="24"/>
        <v>9</v>
      </c>
      <c r="C267" t="str">
        <f t="shared" si="25"/>
        <v>September</v>
      </c>
      <c r="D267" t="str">
        <f t="shared" si="26"/>
        <v>Sunday</v>
      </c>
      <c r="E267" t="s">
        <v>12</v>
      </c>
      <c r="F267">
        <v>40</v>
      </c>
      <c r="G267">
        <v>35</v>
      </c>
      <c r="H267" s="3">
        <f t="shared" si="27"/>
        <v>0.875</v>
      </c>
      <c r="I267" s="4">
        <v>89</v>
      </c>
      <c r="J267" s="5">
        <f t="shared" si="28"/>
        <v>77.875</v>
      </c>
      <c r="K267" s="5">
        <f t="shared" si="29"/>
        <v>3115</v>
      </c>
      <c r="L267" t="s">
        <v>20</v>
      </c>
    </row>
    <row r="268" spans="1:12" x14ac:dyDescent="0.3">
      <c r="A268" s="2">
        <v>45558</v>
      </c>
      <c r="B268">
        <f t="shared" si="24"/>
        <v>9</v>
      </c>
      <c r="C268" t="str">
        <f t="shared" si="25"/>
        <v>September</v>
      </c>
      <c r="D268" t="str">
        <f t="shared" si="26"/>
        <v>Monday</v>
      </c>
      <c r="E268" t="s">
        <v>12</v>
      </c>
      <c r="F268">
        <v>40</v>
      </c>
      <c r="G268">
        <v>31</v>
      </c>
      <c r="H268" s="3">
        <f t="shared" si="27"/>
        <v>0.77500000000000002</v>
      </c>
      <c r="I268" s="4">
        <v>89</v>
      </c>
      <c r="J268" s="5">
        <f t="shared" si="28"/>
        <v>68.975000000000009</v>
      </c>
      <c r="K268" s="5">
        <f t="shared" si="29"/>
        <v>2759</v>
      </c>
      <c r="L268" t="s">
        <v>20</v>
      </c>
    </row>
    <row r="269" spans="1:12" x14ac:dyDescent="0.3">
      <c r="A269" s="2">
        <v>45559</v>
      </c>
      <c r="B269">
        <f t="shared" si="24"/>
        <v>9</v>
      </c>
      <c r="C269" t="str">
        <f t="shared" si="25"/>
        <v>September</v>
      </c>
      <c r="D269" t="str">
        <f t="shared" si="26"/>
        <v>Tuesday</v>
      </c>
      <c r="E269" t="s">
        <v>12</v>
      </c>
      <c r="F269">
        <v>40</v>
      </c>
      <c r="G269">
        <v>30</v>
      </c>
      <c r="H269" s="3">
        <f t="shared" si="27"/>
        <v>0.75</v>
      </c>
      <c r="I269" s="4">
        <v>89</v>
      </c>
      <c r="J269" s="5">
        <f t="shared" si="28"/>
        <v>66.75</v>
      </c>
      <c r="K269" s="5">
        <f t="shared" si="29"/>
        <v>2670</v>
      </c>
      <c r="L269" t="s">
        <v>20</v>
      </c>
    </row>
    <row r="270" spans="1:12" x14ac:dyDescent="0.3">
      <c r="A270" s="2">
        <v>45560</v>
      </c>
      <c r="B270">
        <f t="shared" si="24"/>
        <v>9</v>
      </c>
      <c r="C270" t="str">
        <f t="shared" si="25"/>
        <v>September</v>
      </c>
      <c r="D270" t="str">
        <f t="shared" si="26"/>
        <v>Wednesday</v>
      </c>
      <c r="E270" t="s">
        <v>16</v>
      </c>
      <c r="F270">
        <v>5</v>
      </c>
      <c r="G270">
        <v>3</v>
      </c>
      <c r="H270" s="3">
        <f t="shared" si="27"/>
        <v>0.6</v>
      </c>
      <c r="I270" s="4">
        <v>89</v>
      </c>
      <c r="J270" s="5">
        <f t="shared" si="28"/>
        <v>53.4</v>
      </c>
      <c r="K270" s="5">
        <f t="shared" si="29"/>
        <v>267</v>
      </c>
      <c r="L270" t="s">
        <v>20</v>
      </c>
    </row>
    <row r="271" spans="1:12" x14ac:dyDescent="0.3">
      <c r="A271" s="2">
        <v>45561</v>
      </c>
      <c r="B271">
        <f t="shared" si="24"/>
        <v>9</v>
      </c>
      <c r="C271" t="str">
        <f t="shared" si="25"/>
        <v>September</v>
      </c>
      <c r="D271" t="str">
        <f t="shared" si="26"/>
        <v>Thursday</v>
      </c>
      <c r="E271" t="s">
        <v>16</v>
      </c>
      <c r="F271">
        <v>5</v>
      </c>
      <c r="G271">
        <v>3</v>
      </c>
      <c r="H271" s="3">
        <f t="shared" si="27"/>
        <v>0.6</v>
      </c>
      <c r="I271" s="4">
        <v>89</v>
      </c>
      <c r="J271" s="5">
        <f t="shared" si="28"/>
        <v>53.4</v>
      </c>
      <c r="K271" s="5">
        <f t="shared" si="29"/>
        <v>267</v>
      </c>
      <c r="L271" t="s">
        <v>20</v>
      </c>
    </row>
    <row r="272" spans="1:12" x14ac:dyDescent="0.3">
      <c r="A272" s="2">
        <v>45562</v>
      </c>
      <c r="B272">
        <f t="shared" si="24"/>
        <v>9</v>
      </c>
      <c r="C272" t="str">
        <f t="shared" si="25"/>
        <v>September</v>
      </c>
      <c r="D272" t="str">
        <f t="shared" si="26"/>
        <v>Friday</v>
      </c>
      <c r="E272" t="s">
        <v>16</v>
      </c>
      <c r="F272">
        <v>5</v>
      </c>
      <c r="G272">
        <v>5</v>
      </c>
      <c r="H272" s="3">
        <f t="shared" si="27"/>
        <v>1</v>
      </c>
      <c r="I272" s="4">
        <v>89</v>
      </c>
      <c r="J272" s="5">
        <f t="shared" si="28"/>
        <v>89</v>
      </c>
      <c r="K272" s="5">
        <f t="shared" si="29"/>
        <v>445</v>
      </c>
      <c r="L272" t="s">
        <v>20</v>
      </c>
    </row>
    <row r="273" spans="1:12" x14ac:dyDescent="0.3">
      <c r="A273" s="2">
        <v>45563</v>
      </c>
      <c r="B273">
        <f t="shared" si="24"/>
        <v>9</v>
      </c>
      <c r="C273" t="str">
        <f t="shared" si="25"/>
        <v>September</v>
      </c>
      <c r="D273" t="str">
        <f t="shared" si="26"/>
        <v>Saturday</v>
      </c>
      <c r="E273" t="s">
        <v>16</v>
      </c>
      <c r="F273">
        <v>5</v>
      </c>
      <c r="G273">
        <v>3</v>
      </c>
      <c r="H273" s="3">
        <f t="shared" si="27"/>
        <v>0.6</v>
      </c>
      <c r="I273" s="4">
        <v>89</v>
      </c>
      <c r="J273" s="5">
        <f t="shared" si="28"/>
        <v>53.4</v>
      </c>
      <c r="K273" s="5">
        <f t="shared" si="29"/>
        <v>267</v>
      </c>
      <c r="L273" t="s">
        <v>20</v>
      </c>
    </row>
    <row r="274" spans="1:12" x14ac:dyDescent="0.3">
      <c r="A274" s="2">
        <v>45564</v>
      </c>
      <c r="B274">
        <f t="shared" si="24"/>
        <v>9</v>
      </c>
      <c r="C274" t="str">
        <f t="shared" si="25"/>
        <v>September</v>
      </c>
      <c r="D274" t="str">
        <f t="shared" si="26"/>
        <v>Sunday</v>
      </c>
      <c r="E274" t="s">
        <v>16</v>
      </c>
      <c r="F274">
        <v>5</v>
      </c>
      <c r="G274">
        <v>5</v>
      </c>
      <c r="H274" s="3">
        <f t="shared" si="27"/>
        <v>1</v>
      </c>
      <c r="I274" s="4">
        <v>89</v>
      </c>
      <c r="J274" s="5">
        <f t="shared" si="28"/>
        <v>89</v>
      </c>
      <c r="K274" s="5">
        <f t="shared" si="29"/>
        <v>445</v>
      </c>
      <c r="L274" t="s">
        <v>20</v>
      </c>
    </row>
    <row r="275" spans="1:12" x14ac:dyDescent="0.3">
      <c r="A275" s="2">
        <v>45565</v>
      </c>
      <c r="B275">
        <f t="shared" si="24"/>
        <v>9</v>
      </c>
      <c r="C275" t="str">
        <f t="shared" si="25"/>
        <v>September</v>
      </c>
      <c r="D275" t="str">
        <f t="shared" si="26"/>
        <v>Monday</v>
      </c>
      <c r="E275" t="s">
        <v>16</v>
      </c>
      <c r="F275">
        <v>5</v>
      </c>
      <c r="G275">
        <v>4</v>
      </c>
      <c r="H275" s="3">
        <f t="shared" si="27"/>
        <v>0.8</v>
      </c>
      <c r="I275" s="4">
        <v>89</v>
      </c>
      <c r="J275" s="5">
        <f t="shared" si="28"/>
        <v>71.2</v>
      </c>
      <c r="K275" s="5">
        <f t="shared" si="29"/>
        <v>356</v>
      </c>
      <c r="L275" t="s">
        <v>20</v>
      </c>
    </row>
    <row r="276" spans="1:12" x14ac:dyDescent="0.3">
      <c r="A276" s="2">
        <v>45566</v>
      </c>
      <c r="B276">
        <f t="shared" si="24"/>
        <v>10</v>
      </c>
      <c r="C276" t="str">
        <f t="shared" si="25"/>
        <v>October</v>
      </c>
      <c r="D276" t="str">
        <f t="shared" si="26"/>
        <v>Tuesday</v>
      </c>
      <c r="E276" t="s">
        <v>16</v>
      </c>
      <c r="F276">
        <v>5</v>
      </c>
      <c r="G276">
        <v>5</v>
      </c>
      <c r="H276" s="3">
        <f t="shared" si="27"/>
        <v>1</v>
      </c>
      <c r="I276" s="4">
        <v>89</v>
      </c>
      <c r="J276" s="5">
        <f t="shared" si="28"/>
        <v>89</v>
      </c>
      <c r="K276" s="5">
        <f t="shared" si="29"/>
        <v>445</v>
      </c>
      <c r="L276" t="s">
        <v>20</v>
      </c>
    </row>
    <row r="277" spans="1:12" x14ac:dyDescent="0.3">
      <c r="A277" s="2">
        <v>45567</v>
      </c>
      <c r="B277">
        <f t="shared" si="24"/>
        <v>10</v>
      </c>
      <c r="C277" t="str">
        <f t="shared" si="25"/>
        <v>October</v>
      </c>
      <c r="D277" t="str">
        <f t="shared" si="26"/>
        <v>Wednesday</v>
      </c>
      <c r="E277" t="s">
        <v>16</v>
      </c>
      <c r="F277">
        <v>5</v>
      </c>
      <c r="G277">
        <v>5</v>
      </c>
      <c r="H277" s="3">
        <f t="shared" si="27"/>
        <v>1</v>
      </c>
      <c r="I277" s="4">
        <v>89</v>
      </c>
      <c r="J277" s="5">
        <f t="shared" si="28"/>
        <v>89</v>
      </c>
      <c r="K277" s="5">
        <f t="shared" si="29"/>
        <v>445</v>
      </c>
      <c r="L277" t="s">
        <v>20</v>
      </c>
    </row>
    <row r="278" spans="1:12" x14ac:dyDescent="0.3">
      <c r="A278" s="2">
        <v>45568</v>
      </c>
      <c r="B278">
        <f t="shared" si="24"/>
        <v>10</v>
      </c>
      <c r="C278" t="str">
        <f t="shared" si="25"/>
        <v>October</v>
      </c>
      <c r="D278" t="str">
        <f t="shared" si="26"/>
        <v>Thursday</v>
      </c>
      <c r="E278" t="s">
        <v>16</v>
      </c>
      <c r="F278">
        <v>5</v>
      </c>
      <c r="G278">
        <v>3</v>
      </c>
      <c r="H278" s="3">
        <f t="shared" si="27"/>
        <v>0.6</v>
      </c>
      <c r="I278" s="4">
        <v>89</v>
      </c>
      <c r="J278" s="5">
        <f t="shared" si="28"/>
        <v>53.4</v>
      </c>
      <c r="K278" s="5">
        <f t="shared" si="29"/>
        <v>267</v>
      </c>
      <c r="L278" t="s">
        <v>20</v>
      </c>
    </row>
    <row r="279" spans="1:12" x14ac:dyDescent="0.3">
      <c r="A279" s="2">
        <v>45569</v>
      </c>
      <c r="B279">
        <f t="shared" si="24"/>
        <v>10</v>
      </c>
      <c r="C279" t="str">
        <f t="shared" si="25"/>
        <v>October</v>
      </c>
      <c r="D279" t="str">
        <f t="shared" si="26"/>
        <v>Friday</v>
      </c>
      <c r="E279" t="s">
        <v>12</v>
      </c>
      <c r="F279">
        <v>40</v>
      </c>
      <c r="G279">
        <v>35</v>
      </c>
      <c r="H279" s="3">
        <f t="shared" si="27"/>
        <v>0.875</v>
      </c>
      <c r="I279" s="4">
        <v>89</v>
      </c>
      <c r="J279" s="5">
        <f t="shared" si="28"/>
        <v>77.875</v>
      </c>
      <c r="K279" s="5">
        <f t="shared" si="29"/>
        <v>3115</v>
      </c>
      <c r="L279" t="s">
        <v>20</v>
      </c>
    </row>
    <row r="280" spans="1:12" x14ac:dyDescent="0.3">
      <c r="A280" s="2">
        <v>45570</v>
      </c>
      <c r="B280">
        <f t="shared" si="24"/>
        <v>10</v>
      </c>
      <c r="C280" t="str">
        <f t="shared" si="25"/>
        <v>October</v>
      </c>
      <c r="D280" t="str">
        <f t="shared" si="26"/>
        <v>Saturday</v>
      </c>
      <c r="E280" t="s">
        <v>12</v>
      </c>
      <c r="F280">
        <v>40</v>
      </c>
      <c r="G280">
        <v>33</v>
      </c>
      <c r="H280" s="3">
        <f t="shared" si="27"/>
        <v>0.82499999999999996</v>
      </c>
      <c r="I280" s="4">
        <v>89</v>
      </c>
      <c r="J280" s="5">
        <f t="shared" si="28"/>
        <v>73.424999999999997</v>
      </c>
      <c r="K280" s="5">
        <f t="shared" si="29"/>
        <v>2937</v>
      </c>
      <c r="L280" t="s">
        <v>20</v>
      </c>
    </row>
    <row r="281" spans="1:12" x14ac:dyDescent="0.3">
      <c r="A281" s="2">
        <v>45571</v>
      </c>
      <c r="B281">
        <f t="shared" si="24"/>
        <v>10</v>
      </c>
      <c r="C281" t="str">
        <f t="shared" si="25"/>
        <v>October</v>
      </c>
      <c r="D281" t="str">
        <f t="shared" si="26"/>
        <v>Sunday</v>
      </c>
      <c r="E281" t="s">
        <v>12</v>
      </c>
      <c r="F281">
        <v>40</v>
      </c>
      <c r="G281">
        <v>33</v>
      </c>
      <c r="H281" s="3">
        <f t="shared" si="27"/>
        <v>0.82499999999999996</v>
      </c>
      <c r="I281" s="4">
        <v>89</v>
      </c>
      <c r="J281" s="5">
        <f t="shared" si="28"/>
        <v>73.424999999999997</v>
      </c>
      <c r="K281" s="5">
        <f t="shared" si="29"/>
        <v>2937</v>
      </c>
      <c r="L281" t="s">
        <v>20</v>
      </c>
    </row>
    <row r="282" spans="1:12" x14ac:dyDescent="0.3">
      <c r="A282" s="2">
        <v>45572</v>
      </c>
      <c r="B282">
        <f t="shared" si="24"/>
        <v>10</v>
      </c>
      <c r="C282" t="str">
        <f t="shared" si="25"/>
        <v>October</v>
      </c>
      <c r="D282" t="str">
        <f t="shared" si="26"/>
        <v>Monday</v>
      </c>
      <c r="E282" t="s">
        <v>12</v>
      </c>
      <c r="F282">
        <v>40</v>
      </c>
      <c r="G282">
        <v>35</v>
      </c>
      <c r="H282" s="3">
        <f t="shared" si="27"/>
        <v>0.875</v>
      </c>
      <c r="I282" s="4">
        <v>89</v>
      </c>
      <c r="J282" s="5">
        <f t="shared" si="28"/>
        <v>77.875</v>
      </c>
      <c r="K282" s="5">
        <f t="shared" si="29"/>
        <v>3115</v>
      </c>
      <c r="L282" t="s">
        <v>20</v>
      </c>
    </row>
    <row r="283" spans="1:12" x14ac:dyDescent="0.3">
      <c r="A283" s="2">
        <v>45573</v>
      </c>
      <c r="B283">
        <f t="shared" si="24"/>
        <v>10</v>
      </c>
      <c r="C283" t="str">
        <f t="shared" si="25"/>
        <v>October</v>
      </c>
      <c r="D283" t="str">
        <f t="shared" si="26"/>
        <v>Tuesday</v>
      </c>
      <c r="E283" t="s">
        <v>12</v>
      </c>
      <c r="F283">
        <v>40</v>
      </c>
      <c r="G283">
        <v>30</v>
      </c>
      <c r="H283" s="3">
        <f t="shared" si="27"/>
        <v>0.75</v>
      </c>
      <c r="I283" s="4">
        <v>89</v>
      </c>
      <c r="J283" s="5">
        <f t="shared" si="28"/>
        <v>66.75</v>
      </c>
      <c r="K283" s="5">
        <f t="shared" si="29"/>
        <v>2670</v>
      </c>
      <c r="L283" t="s">
        <v>20</v>
      </c>
    </row>
    <row r="284" spans="1:12" x14ac:dyDescent="0.3">
      <c r="A284" s="2">
        <v>45574</v>
      </c>
      <c r="B284">
        <f t="shared" si="24"/>
        <v>10</v>
      </c>
      <c r="C284" t="str">
        <f t="shared" si="25"/>
        <v>October</v>
      </c>
      <c r="D284" t="str">
        <f t="shared" si="26"/>
        <v>Wednesday</v>
      </c>
      <c r="E284" t="s">
        <v>13</v>
      </c>
      <c r="F284">
        <v>30</v>
      </c>
      <c r="G284">
        <v>23</v>
      </c>
      <c r="H284" s="3">
        <f t="shared" si="27"/>
        <v>0.76666666666666672</v>
      </c>
      <c r="I284" s="4">
        <v>89</v>
      </c>
      <c r="J284" s="5">
        <f t="shared" si="28"/>
        <v>68.233333333333334</v>
      </c>
      <c r="K284" s="5">
        <f t="shared" si="29"/>
        <v>2047</v>
      </c>
      <c r="L284" t="s">
        <v>20</v>
      </c>
    </row>
    <row r="285" spans="1:12" x14ac:dyDescent="0.3">
      <c r="A285" s="2">
        <v>45575</v>
      </c>
      <c r="B285">
        <f t="shared" si="24"/>
        <v>10</v>
      </c>
      <c r="C285" t="str">
        <f t="shared" si="25"/>
        <v>October</v>
      </c>
      <c r="D285" t="str">
        <f t="shared" si="26"/>
        <v>Thursday</v>
      </c>
      <c r="E285" t="s">
        <v>13</v>
      </c>
      <c r="F285">
        <v>30</v>
      </c>
      <c r="G285">
        <v>21</v>
      </c>
      <c r="H285" s="3">
        <f t="shared" si="27"/>
        <v>0.7</v>
      </c>
      <c r="I285" s="4">
        <v>89</v>
      </c>
      <c r="J285" s="5">
        <f t="shared" si="28"/>
        <v>62.3</v>
      </c>
      <c r="K285" s="5">
        <f t="shared" si="29"/>
        <v>1869</v>
      </c>
      <c r="L285" t="s">
        <v>20</v>
      </c>
    </row>
    <row r="286" spans="1:12" x14ac:dyDescent="0.3">
      <c r="A286" s="2">
        <v>45576</v>
      </c>
      <c r="B286">
        <f t="shared" si="24"/>
        <v>10</v>
      </c>
      <c r="C286" t="str">
        <f t="shared" si="25"/>
        <v>October</v>
      </c>
      <c r="D286" t="str">
        <f t="shared" si="26"/>
        <v>Friday</v>
      </c>
      <c r="E286" t="s">
        <v>13</v>
      </c>
      <c r="F286">
        <v>30</v>
      </c>
      <c r="G286">
        <v>27</v>
      </c>
      <c r="H286" s="3">
        <f t="shared" si="27"/>
        <v>0.9</v>
      </c>
      <c r="I286" s="4">
        <v>89</v>
      </c>
      <c r="J286" s="5">
        <f t="shared" si="28"/>
        <v>80.100000000000009</v>
      </c>
      <c r="K286" s="5">
        <f t="shared" si="29"/>
        <v>2403</v>
      </c>
      <c r="L286" t="s">
        <v>20</v>
      </c>
    </row>
    <row r="287" spans="1:12" x14ac:dyDescent="0.3">
      <c r="A287" s="2">
        <v>45577</v>
      </c>
      <c r="B287">
        <f t="shared" si="24"/>
        <v>10</v>
      </c>
      <c r="C287" t="str">
        <f t="shared" si="25"/>
        <v>October</v>
      </c>
      <c r="D287" t="str">
        <f t="shared" si="26"/>
        <v>Saturday</v>
      </c>
      <c r="E287" t="s">
        <v>13</v>
      </c>
      <c r="F287">
        <v>30</v>
      </c>
      <c r="G287">
        <v>24</v>
      </c>
      <c r="H287" s="3">
        <f t="shared" si="27"/>
        <v>0.8</v>
      </c>
      <c r="I287" s="4">
        <v>89</v>
      </c>
      <c r="J287" s="5">
        <f t="shared" si="28"/>
        <v>71.2</v>
      </c>
      <c r="K287" s="5">
        <f t="shared" si="29"/>
        <v>2136</v>
      </c>
      <c r="L287" t="s">
        <v>20</v>
      </c>
    </row>
    <row r="288" spans="1:12" x14ac:dyDescent="0.3">
      <c r="A288" s="2">
        <v>45578</v>
      </c>
      <c r="B288">
        <f t="shared" si="24"/>
        <v>10</v>
      </c>
      <c r="C288" t="str">
        <f t="shared" si="25"/>
        <v>October</v>
      </c>
      <c r="D288" t="str">
        <f t="shared" si="26"/>
        <v>Sunday</v>
      </c>
      <c r="E288" t="s">
        <v>13</v>
      </c>
      <c r="F288">
        <v>30</v>
      </c>
      <c r="G288">
        <v>25</v>
      </c>
      <c r="H288" s="3">
        <f t="shared" si="27"/>
        <v>0.83333333333333337</v>
      </c>
      <c r="I288" s="4">
        <v>89</v>
      </c>
      <c r="J288" s="5">
        <f t="shared" si="28"/>
        <v>74.166666666666671</v>
      </c>
      <c r="K288" s="5">
        <f t="shared" si="29"/>
        <v>2225</v>
      </c>
      <c r="L288" t="s">
        <v>20</v>
      </c>
    </row>
    <row r="289" spans="1:12" x14ac:dyDescent="0.3">
      <c r="A289" s="2">
        <v>45579</v>
      </c>
      <c r="B289">
        <f t="shared" si="24"/>
        <v>10</v>
      </c>
      <c r="C289" t="str">
        <f t="shared" si="25"/>
        <v>October</v>
      </c>
      <c r="D289" t="str">
        <f t="shared" si="26"/>
        <v>Monday</v>
      </c>
      <c r="E289" t="s">
        <v>13</v>
      </c>
      <c r="F289">
        <v>30</v>
      </c>
      <c r="G289">
        <v>27</v>
      </c>
      <c r="H289" s="3">
        <f t="shared" si="27"/>
        <v>0.9</v>
      </c>
      <c r="I289" s="4">
        <v>89</v>
      </c>
      <c r="J289" s="5">
        <f t="shared" si="28"/>
        <v>80.100000000000009</v>
      </c>
      <c r="K289" s="5">
        <f t="shared" si="29"/>
        <v>2403</v>
      </c>
      <c r="L289" t="s">
        <v>20</v>
      </c>
    </row>
    <row r="290" spans="1:12" x14ac:dyDescent="0.3">
      <c r="A290" s="2">
        <v>45580</v>
      </c>
      <c r="B290">
        <f t="shared" si="24"/>
        <v>10</v>
      </c>
      <c r="C290" t="str">
        <f t="shared" si="25"/>
        <v>October</v>
      </c>
      <c r="D290" t="str">
        <f t="shared" si="26"/>
        <v>Tuesday</v>
      </c>
      <c r="E290" t="s">
        <v>13</v>
      </c>
      <c r="F290">
        <v>30</v>
      </c>
      <c r="G290">
        <v>28</v>
      </c>
      <c r="H290" s="3">
        <f t="shared" si="27"/>
        <v>0.93333333333333335</v>
      </c>
      <c r="I290" s="4">
        <v>89</v>
      </c>
      <c r="J290" s="5">
        <f t="shared" si="28"/>
        <v>83.066666666666663</v>
      </c>
      <c r="K290" s="5">
        <f t="shared" si="29"/>
        <v>2492</v>
      </c>
      <c r="L290" t="s">
        <v>20</v>
      </c>
    </row>
    <row r="291" spans="1:12" x14ac:dyDescent="0.3">
      <c r="A291" s="2">
        <v>45581</v>
      </c>
      <c r="B291">
        <f t="shared" si="24"/>
        <v>10</v>
      </c>
      <c r="C291" t="str">
        <f t="shared" si="25"/>
        <v>October</v>
      </c>
      <c r="D291" t="str">
        <f t="shared" si="26"/>
        <v>Wednesday</v>
      </c>
      <c r="E291" t="s">
        <v>13</v>
      </c>
      <c r="F291">
        <v>30</v>
      </c>
      <c r="G291">
        <v>18</v>
      </c>
      <c r="H291" s="3">
        <f t="shared" si="27"/>
        <v>0.6</v>
      </c>
      <c r="I291" s="4">
        <v>89</v>
      </c>
      <c r="J291" s="5">
        <f t="shared" si="28"/>
        <v>53.4</v>
      </c>
      <c r="K291" s="5">
        <f t="shared" si="29"/>
        <v>1602</v>
      </c>
      <c r="L291" t="s">
        <v>20</v>
      </c>
    </row>
    <row r="292" spans="1:12" x14ac:dyDescent="0.3">
      <c r="A292" s="2">
        <v>45582</v>
      </c>
      <c r="B292">
        <f t="shared" si="24"/>
        <v>10</v>
      </c>
      <c r="C292" t="str">
        <f t="shared" si="25"/>
        <v>October</v>
      </c>
      <c r="D292" t="str">
        <f t="shared" si="26"/>
        <v>Thursday</v>
      </c>
      <c r="E292" t="s">
        <v>13</v>
      </c>
      <c r="F292">
        <v>30</v>
      </c>
      <c r="G292">
        <v>23</v>
      </c>
      <c r="H292" s="3">
        <f t="shared" si="27"/>
        <v>0.76666666666666672</v>
      </c>
      <c r="I292" s="4">
        <v>89</v>
      </c>
      <c r="J292" s="5">
        <f t="shared" si="28"/>
        <v>68.233333333333334</v>
      </c>
      <c r="K292" s="5">
        <f t="shared" si="29"/>
        <v>2047</v>
      </c>
      <c r="L292" t="s">
        <v>20</v>
      </c>
    </row>
    <row r="293" spans="1:12" x14ac:dyDescent="0.3">
      <c r="A293" s="2">
        <v>45583</v>
      </c>
      <c r="B293">
        <f t="shared" si="24"/>
        <v>10</v>
      </c>
      <c r="C293" t="str">
        <f t="shared" si="25"/>
        <v>October</v>
      </c>
      <c r="D293" t="str">
        <f t="shared" si="26"/>
        <v>Friday</v>
      </c>
      <c r="E293" t="s">
        <v>13</v>
      </c>
      <c r="F293">
        <v>30</v>
      </c>
      <c r="G293">
        <v>22</v>
      </c>
      <c r="H293" s="3">
        <f t="shared" si="27"/>
        <v>0.73333333333333328</v>
      </c>
      <c r="I293" s="4">
        <v>89</v>
      </c>
      <c r="J293" s="5">
        <f t="shared" si="28"/>
        <v>65.266666666666666</v>
      </c>
      <c r="K293" s="5">
        <f t="shared" si="29"/>
        <v>1958</v>
      </c>
      <c r="L293" t="s">
        <v>20</v>
      </c>
    </row>
    <row r="294" spans="1:12" x14ac:dyDescent="0.3">
      <c r="A294" s="2">
        <v>45584</v>
      </c>
      <c r="B294">
        <f t="shared" si="24"/>
        <v>10</v>
      </c>
      <c r="C294" t="str">
        <f t="shared" si="25"/>
        <v>October</v>
      </c>
      <c r="D294" t="str">
        <f t="shared" si="26"/>
        <v>Saturday</v>
      </c>
      <c r="E294" t="s">
        <v>13</v>
      </c>
      <c r="F294">
        <v>30</v>
      </c>
      <c r="G294">
        <v>26</v>
      </c>
      <c r="H294" s="3">
        <f t="shared" si="27"/>
        <v>0.8666666666666667</v>
      </c>
      <c r="I294" s="4">
        <v>89</v>
      </c>
      <c r="J294" s="5">
        <f t="shared" si="28"/>
        <v>77.13333333333334</v>
      </c>
      <c r="K294" s="5">
        <f t="shared" si="29"/>
        <v>2314</v>
      </c>
      <c r="L294" t="s">
        <v>20</v>
      </c>
    </row>
    <row r="295" spans="1:12" x14ac:dyDescent="0.3">
      <c r="A295" s="2">
        <v>45585</v>
      </c>
      <c r="B295">
        <f t="shared" si="24"/>
        <v>10</v>
      </c>
      <c r="C295" t="str">
        <f t="shared" si="25"/>
        <v>October</v>
      </c>
      <c r="D295" t="str">
        <f t="shared" si="26"/>
        <v>Sunday</v>
      </c>
      <c r="E295" t="s">
        <v>13</v>
      </c>
      <c r="F295">
        <v>30</v>
      </c>
      <c r="G295">
        <v>29</v>
      </c>
      <c r="H295" s="3">
        <f t="shared" si="27"/>
        <v>0.96666666666666667</v>
      </c>
      <c r="I295" s="4">
        <v>89</v>
      </c>
      <c r="J295" s="5">
        <f t="shared" si="28"/>
        <v>86.033333333333331</v>
      </c>
      <c r="K295" s="5">
        <f t="shared" si="29"/>
        <v>2581</v>
      </c>
      <c r="L295" t="s">
        <v>20</v>
      </c>
    </row>
    <row r="296" spans="1:12" x14ac:dyDescent="0.3">
      <c r="A296" s="2">
        <v>45586</v>
      </c>
      <c r="B296">
        <f t="shared" si="24"/>
        <v>10</v>
      </c>
      <c r="C296" t="str">
        <f t="shared" si="25"/>
        <v>October</v>
      </c>
      <c r="D296" t="str">
        <f t="shared" si="26"/>
        <v>Monday</v>
      </c>
      <c r="E296" t="s">
        <v>13</v>
      </c>
      <c r="F296">
        <v>30</v>
      </c>
      <c r="G296">
        <v>27</v>
      </c>
      <c r="H296" s="3">
        <f t="shared" si="27"/>
        <v>0.9</v>
      </c>
      <c r="I296" s="4">
        <v>89</v>
      </c>
      <c r="J296" s="5">
        <f t="shared" si="28"/>
        <v>80.100000000000009</v>
      </c>
      <c r="K296" s="5">
        <f t="shared" si="29"/>
        <v>2403</v>
      </c>
      <c r="L296" t="s">
        <v>20</v>
      </c>
    </row>
    <row r="297" spans="1:12" x14ac:dyDescent="0.3">
      <c r="A297" s="2">
        <v>45587</v>
      </c>
      <c r="B297">
        <f t="shared" si="24"/>
        <v>10</v>
      </c>
      <c r="C297" t="str">
        <f t="shared" si="25"/>
        <v>October</v>
      </c>
      <c r="D297" t="str">
        <f t="shared" si="26"/>
        <v>Tuesday</v>
      </c>
      <c r="E297" t="s">
        <v>14</v>
      </c>
      <c r="F297">
        <v>15</v>
      </c>
      <c r="G297">
        <v>10</v>
      </c>
      <c r="H297" s="3">
        <f t="shared" si="27"/>
        <v>0.66666666666666663</v>
      </c>
      <c r="I297" s="4">
        <v>89</v>
      </c>
      <c r="J297" s="5">
        <f t="shared" si="28"/>
        <v>59.333333333333329</v>
      </c>
      <c r="K297" s="5">
        <f t="shared" si="29"/>
        <v>890</v>
      </c>
      <c r="L297" t="s">
        <v>20</v>
      </c>
    </row>
    <row r="298" spans="1:12" x14ac:dyDescent="0.3">
      <c r="A298" s="2">
        <v>45588</v>
      </c>
      <c r="B298">
        <f t="shared" si="24"/>
        <v>10</v>
      </c>
      <c r="C298" t="str">
        <f t="shared" si="25"/>
        <v>October</v>
      </c>
      <c r="D298" t="str">
        <f t="shared" si="26"/>
        <v>Wednesday</v>
      </c>
      <c r="E298" t="s">
        <v>14</v>
      </c>
      <c r="F298">
        <v>15</v>
      </c>
      <c r="G298">
        <v>10</v>
      </c>
      <c r="H298" s="3">
        <f t="shared" si="27"/>
        <v>0.66666666666666663</v>
      </c>
      <c r="I298" s="4">
        <v>89</v>
      </c>
      <c r="J298" s="5">
        <f t="shared" si="28"/>
        <v>59.333333333333329</v>
      </c>
      <c r="K298" s="5">
        <f t="shared" si="29"/>
        <v>890</v>
      </c>
      <c r="L298" t="s">
        <v>20</v>
      </c>
    </row>
    <row r="299" spans="1:12" x14ac:dyDescent="0.3">
      <c r="A299" s="2">
        <v>45589</v>
      </c>
      <c r="B299">
        <f t="shared" si="24"/>
        <v>10</v>
      </c>
      <c r="C299" t="str">
        <f t="shared" si="25"/>
        <v>October</v>
      </c>
      <c r="D299" t="str">
        <f t="shared" si="26"/>
        <v>Thursday</v>
      </c>
      <c r="E299" t="s">
        <v>14</v>
      </c>
      <c r="F299">
        <v>15</v>
      </c>
      <c r="G299">
        <v>13</v>
      </c>
      <c r="H299" s="3">
        <f t="shared" si="27"/>
        <v>0.8666666666666667</v>
      </c>
      <c r="I299" s="4">
        <v>89</v>
      </c>
      <c r="J299" s="5">
        <f t="shared" si="28"/>
        <v>77.13333333333334</v>
      </c>
      <c r="K299" s="5">
        <f t="shared" si="29"/>
        <v>1157</v>
      </c>
      <c r="L299" t="s">
        <v>20</v>
      </c>
    </row>
    <row r="300" spans="1:12" x14ac:dyDescent="0.3">
      <c r="A300" s="2">
        <v>45590</v>
      </c>
      <c r="B300">
        <f t="shared" si="24"/>
        <v>10</v>
      </c>
      <c r="C300" t="str">
        <f t="shared" si="25"/>
        <v>October</v>
      </c>
      <c r="D300" t="str">
        <f t="shared" si="26"/>
        <v>Friday</v>
      </c>
      <c r="E300" t="s">
        <v>14</v>
      </c>
      <c r="F300">
        <v>15</v>
      </c>
      <c r="G300">
        <v>13</v>
      </c>
      <c r="H300" s="3">
        <f t="shared" si="27"/>
        <v>0.8666666666666667</v>
      </c>
      <c r="I300" s="4">
        <v>89</v>
      </c>
      <c r="J300" s="5">
        <f t="shared" si="28"/>
        <v>77.13333333333334</v>
      </c>
      <c r="K300" s="5">
        <f t="shared" si="29"/>
        <v>1157</v>
      </c>
      <c r="L300" t="s">
        <v>20</v>
      </c>
    </row>
    <row r="301" spans="1:12" x14ac:dyDescent="0.3">
      <c r="A301" s="2">
        <v>45591</v>
      </c>
      <c r="B301">
        <f t="shared" si="24"/>
        <v>10</v>
      </c>
      <c r="C301" t="str">
        <f t="shared" si="25"/>
        <v>October</v>
      </c>
      <c r="D301" t="str">
        <f t="shared" si="26"/>
        <v>Saturday</v>
      </c>
      <c r="E301" t="s">
        <v>14</v>
      </c>
      <c r="F301">
        <v>15</v>
      </c>
      <c r="G301">
        <v>12</v>
      </c>
      <c r="H301" s="3">
        <f t="shared" si="27"/>
        <v>0.8</v>
      </c>
      <c r="I301" s="4">
        <v>89</v>
      </c>
      <c r="J301" s="5">
        <f t="shared" si="28"/>
        <v>71.2</v>
      </c>
      <c r="K301" s="5">
        <f t="shared" si="29"/>
        <v>1068</v>
      </c>
      <c r="L301" t="s">
        <v>20</v>
      </c>
    </row>
    <row r="302" spans="1:12" x14ac:dyDescent="0.3">
      <c r="A302" s="2">
        <v>45592</v>
      </c>
      <c r="B302">
        <f t="shared" si="24"/>
        <v>10</v>
      </c>
      <c r="C302" t="str">
        <f t="shared" si="25"/>
        <v>October</v>
      </c>
      <c r="D302" t="str">
        <f t="shared" si="26"/>
        <v>Sunday</v>
      </c>
      <c r="E302" t="s">
        <v>14</v>
      </c>
      <c r="F302">
        <v>15</v>
      </c>
      <c r="G302">
        <v>13</v>
      </c>
      <c r="H302" s="3">
        <f t="shared" si="27"/>
        <v>0.8666666666666667</v>
      </c>
      <c r="I302" s="4">
        <v>89</v>
      </c>
      <c r="J302" s="5">
        <f t="shared" si="28"/>
        <v>77.13333333333334</v>
      </c>
      <c r="K302" s="5">
        <f t="shared" si="29"/>
        <v>1157</v>
      </c>
      <c r="L302" t="s">
        <v>20</v>
      </c>
    </row>
    <row r="303" spans="1:12" x14ac:dyDescent="0.3">
      <c r="A303" s="2">
        <v>45593</v>
      </c>
      <c r="B303">
        <f t="shared" si="24"/>
        <v>10</v>
      </c>
      <c r="C303" t="str">
        <f t="shared" si="25"/>
        <v>October</v>
      </c>
      <c r="D303" t="str">
        <f t="shared" si="26"/>
        <v>Monday</v>
      </c>
      <c r="E303" t="s">
        <v>14</v>
      </c>
      <c r="F303">
        <v>15</v>
      </c>
      <c r="G303">
        <v>9</v>
      </c>
      <c r="H303" s="3">
        <f t="shared" si="27"/>
        <v>0.6</v>
      </c>
      <c r="I303" s="4">
        <v>89</v>
      </c>
      <c r="J303" s="5">
        <f t="shared" si="28"/>
        <v>53.4</v>
      </c>
      <c r="K303" s="5">
        <f t="shared" si="29"/>
        <v>801</v>
      </c>
      <c r="L303" t="s">
        <v>20</v>
      </c>
    </row>
    <row r="304" spans="1:12" x14ac:dyDescent="0.3">
      <c r="A304" s="2">
        <v>45594</v>
      </c>
      <c r="B304">
        <f t="shared" si="24"/>
        <v>10</v>
      </c>
      <c r="C304" t="str">
        <f t="shared" si="25"/>
        <v>October</v>
      </c>
      <c r="D304" t="str">
        <f t="shared" si="26"/>
        <v>Tuesday</v>
      </c>
      <c r="E304" t="s">
        <v>14</v>
      </c>
      <c r="F304">
        <v>15</v>
      </c>
      <c r="G304">
        <v>11</v>
      </c>
      <c r="H304" s="3">
        <f t="shared" si="27"/>
        <v>0.73333333333333328</v>
      </c>
      <c r="I304" s="4">
        <v>89</v>
      </c>
      <c r="J304" s="5">
        <f t="shared" si="28"/>
        <v>65.266666666666666</v>
      </c>
      <c r="K304" s="5">
        <f t="shared" si="29"/>
        <v>979</v>
      </c>
      <c r="L304" t="s">
        <v>20</v>
      </c>
    </row>
    <row r="305" spans="1:12" x14ac:dyDescent="0.3">
      <c r="A305" s="2">
        <v>45595</v>
      </c>
      <c r="B305">
        <f t="shared" si="24"/>
        <v>10</v>
      </c>
      <c r="C305" t="str">
        <f t="shared" si="25"/>
        <v>October</v>
      </c>
      <c r="D305" t="str">
        <f t="shared" si="26"/>
        <v>Wednesday</v>
      </c>
      <c r="E305" t="s">
        <v>14</v>
      </c>
      <c r="F305">
        <v>15</v>
      </c>
      <c r="G305">
        <v>13</v>
      </c>
      <c r="H305" s="3">
        <f t="shared" si="27"/>
        <v>0.8666666666666667</v>
      </c>
      <c r="I305" s="4">
        <v>89</v>
      </c>
      <c r="J305" s="5">
        <f t="shared" si="28"/>
        <v>77.13333333333334</v>
      </c>
      <c r="K305" s="5">
        <f t="shared" si="29"/>
        <v>1157</v>
      </c>
      <c r="L305" t="s">
        <v>20</v>
      </c>
    </row>
    <row r="306" spans="1:12" x14ac:dyDescent="0.3">
      <c r="A306" s="2">
        <v>45596</v>
      </c>
      <c r="B306">
        <f t="shared" si="24"/>
        <v>10</v>
      </c>
      <c r="C306" t="str">
        <f t="shared" si="25"/>
        <v>October</v>
      </c>
      <c r="D306" t="str">
        <f t="shared" si="26"/>
        <v>Thursday</v>
      </c>
      <c r="E306" t="s">
        <v>14</v>
      </c>
      <c r="F306">
        <v>15</v>
      </c>
      <c r="G306">
        <v>10</v>
      </c>
      <c r="H306" s="3">
        <f t="shared" si="27"/>
        <v>0.66666666666666663</v>
      </c>
      <c r="I306" s="4">
        <v>89</v>
      </c>
      <c r="J306" s="5">
        <f t="shared" si="28"/>
        <v>59.333333333333329</v>
      </c>
      <c r="K306" s="5">
        <f t="shared" si="29"/>
        <v>890</v>
      </c>
      <c r="L306" t="s">
        <v>20</v>
      </c>
    </row>
    <row r="307" spans="1:12" x14ac:dyDescent="0.3">
      <c r="A307" s="2">
        <v>45597</v>
      </c>
      <c r="B307">
        <f t="shared" si="24"/>
        <v>11</v>
      </c>
      <c r="C307" t="str">
        <f t="shared" si="25"/>
        <v>November</v>
      </c>
      <c r="D307" t="str">
        <f t="shared" si="26"/>
        <v>Friday</v>
      </c>
      <c r="E307" t="s">
        <v>14</v>
      </c>
      <c r="F307">
        <v>15</v>
      </c>
      <c r="G307">
        <v>12</v>
      </c>
      <c r="H307" s="3">
        <f t="shared" si="27"/>
        <v>0.8</v>
      </c>
      <c r="I307" s="4">
        <v>89</v>
      </c>
      <c r="J307" s="5">
        <f t="shared" si="28"/>
        <v>71.2</v>
      </c>
      <c r="K307" s="5">
        <f t="shared" si="29"/>
        <v>1068</v>
      </c>
      <c r="L307" t="s">
        <v>20</v>
      </c>
    </row>
    <row r="308" spans="1:12" x14ac:dyDescent="0.3">
      <c r="A308" s="2">
        <v>45598</v>
      </c>
      <c r="B308">
        <f t="shared" si="24"/>
        <v>11</v>
      </c>
      <c r="C308" t="str">
        <f t="shared" si="25"/>
        <v>November</v>
      </c>
      <c r="D308" t="str">
        <f t="shared" si="26"/>
        <v>Saturday</v>
      </c>
      <c r="E308" t="s">
        <v>14</v>
      </c>
      <c r="F308">
        <v>15</v>
      </c>
      <c r="G308">
        <v>9</v>
      </c>
      <c r="H308" s="3">
        <f t="shared" si="27"/>
        <v>0.6</v>
      </c>
      <c r="I308" s="4">
        <v>89</v>
      </c>
      <c r="J308" s="5">
        <f t="shared" si="28"/>
        <v>53.4</v>
      </c>
      <c r="K308" s="5">
        <f t="shared" si="29"/>
        <v>801</v>
      </c>
      <c r="L308" t="s">
        <v>20</v>
      </c>
    </row>
    <row r="309" spans="1:12" x14ac:dyDescent="0.3">
      <c r="A309" s="2">
        <v>45599</v>
      </c>
      <c r="B309">
        <f t="shared" si="24"/>
        <v>11</v>
      </c>
      <c r="C309" t="str">
        <f t="shared" si="25"/>
        <v>November</v>
      </c>
      <c r="D309" t="str">
        <f t="shared" si="26"/>
        <v>Sunday</v>
      </c>
      <c r="E309" t="s">
        <v>12</v>
      </c>
      <c r="F309">
        <v>40</v>
      </c>
      <c r="G309">
        <v>27</v>
      </c>
      <c r="H309" s="3">
        <f t="shared" si="27"/>
        <v>0.67500000000000004</v>
      </c>
      <c r="I309" s="4">
        <v>89</v>
      </c>
      <c r="J309" s="5">
        <f t="shared" si="28"/>
        <v>60.075000000000003</v>
      </c>
      <c r="K309" s="5">
        <f t="shared" si="29"/>
        <v>2403</v>
      </c>
      <c r="L309" t="s">
        <v>20</v>
      </c>
    </row>
    <row r="310" spans="1:12" x14ac:dyDescent="0.3">
      <c r="A310" s="2">
        <v>45600</v>
      </c>
      <c r="B310">
        <f t="shared" si="24"/>
        <v>11</v>
      </c>
      <c r="C310" t="str">
        <f t="shared" si="25"/>
        <v>November</v>
      </c>
      <c r="D310" t="str">
        <f t="shared" si="26"/>
        <v>Monday</v>
      </c>
      <c r="E310" t="s">
        <v>12</v>
      </c>
      <c r="F310">
        <v>40</v>
      </c>
      <c r="G310">
        <v>31</v>
      </c>
      <c r="H310" s="3">
        <f t="shared" si="27"/>
        <v>0.77500000000000002</v>
      </c>
      <c r="I310" s="4">
        <v>89</v>
      </c>
      <c r="J310" s="5">
        <f t="shared" si="28"/>
        <v>68.975000000000009</v>
      </c>
      <c r="K310" s="5">
        <f t="shared" si="29"/>
        <v>2759</v>
      </c>
      <c r="L310" t="s">
        <v>20</v>
      </c>
    </row>
    <row r="311" spans="1:12" x14ac:dyDescent="0.3">
      <c r="A311" s="2">
        <v>45601</v>
      </c>
      <c r="B311">
        <f t="shared" si="24"/>
        <v>11</v>
      </c>
      <c r="C311" t="str">
        <f t="shared" si="25"/>
        <v>November</v>
      </c>
      <c r="D311" t="str">
        <f t="shared" si="26"/>
        <v>Tuesday</v>
      </c>
      <c r="E311" t="s">
        <v>12</v>
      </c>
      <c r="F311">
        <v>40</v>
      </c>
      <c r="G311">
        <v>27</v>
      </c>
      <c r="H311" s="3">
        <f t="shared" si="27"/>
        <v>0.67500000000000004</v>
      </c>
      <c r="I311" s="4">
        <v>89</v>
      </c>
      <c r="J311" s="5">
        <f t="shared" si="28"/>
        <v>60.075000000000003</v>
      </c>
      <c r="K311" s="5">
        <f t="shared" si="29"/>
        <v>2403</v>
      </c>
      <c r="L311" t="s">
        <v>20</v>
      </c>
    </row>
    <row r="312" spans="1:12" x14ac:dyDescent="0.3">
      <c r="A312" s="2">
        <v>45602</v>
      </c>
      <c r="B312">
        <f t="shared" si="24"/>
        <v>11</v>
      </c>
      <c r="C312" t="str">
        <f t="shared" si="25"/>
        <v>November</v>
      </c>
      <c r="D312" t="str">
        <f t="shared" si="26"/>
        <v>Wednesday</v>
      </c>
      <c r="E312" t="s">
        <v>16</v>
      </c>
      <c r="F312">
        <v>5</v>
      </c>
      <c r="G312">
        <v>4</v>
      </c>
      <c r="H312" s="3">
        <f t="shared" si="27"/>
        <v>0.8</v>
      </c>
      <c r="I312" s="4">
        <v>89</v>
      </c>
      <c r="J312" s="5">
        <f t="shared" si="28"/>
        <v>71.2</v>
      </c>
      <c r="K312" s="5">
        <f t="shared" si="29"/>
        <v>356</v>
      </c>
      <c r="L312" t="s">
        <v>20</v>
      </c>
    </row>
    <row r="313" spans="1:12" x14ac:dyDescent="0.3">
      <c r="A313" s="2">
        <v>45603</v>
      </c>
      <c r="B313">
        <f t="shared" si="24"/>
        <v>11</v>
      </c>
      <c r="C313" t="str">
        <f t="shared" si="25"/>
        <v>November</v>
      </c>
      <c r="D313" t="str">
        <f t="shared" si="26"/>
        <v>Thursday</v>
      </c>
      <c r="E313" t="s">
        <v>16</v>
      </c>
      <c r="F313">
        <v>5</v>
      </c>
      <c r="G313">
        <v>5</v>
      </c>
      <c r="H313" s="3">
        <f t="shared" si="27"/>
        <v>1</v>
      </c>
      <c r="I313" s="4">
        <v>89</v>
      </c>
      <c r="J313" s="5">
        <f t="shared" si="28"/>
        <v>89</v>
      </c>
      <c r="K313" s="5">
        <f t="shared" si="29"/>
        <v>445</v>
      </c>
      <c r="L313" t="s">
        <v>20</v>
      </c>
    </row>
    <row r="314" spans="1:12" x14ac:dyDescent="0.3">
      <c r="A314" s="2">
        <v>45604</v>
      </c>
      <c r="B314">
        <f t="shared" si="24"/>
        <v>11</v>
      </c>
      <c r="C314" t="str">
        <f t="shared" si="25"/>
        <v>November</v>
      </c>
      <c r="D314" t="str">
        <f t="shared" si="26"/>
        <v>Friday</v>
      </c>
      <c r="E314" t="s">
        <v>16</v>
      </c>
      <c r="F314">
        <v>5</v>
      </c>
      <c r="G314">
        <v>3</v>
      </c>
      <c r="H314" s="3">
        <f t="shared" si="27"/>
        <v>0.6</v>
      </c>
      <c r="I314" s="4">
        <v>89</v>
      </c>
      <c r="J314" s="5">
        <f t="shared" si="28"/>
        <v>53.4</v>
      </c>
      <c r="K314" s="5">
        <f t="shared" si="29"/>
        <v>267</v>
      </c>
      <c r="L314" t="s">
        <v>20</v>
      </c>
    </row>
    <row r="315" spans="1:12" x14ac:dyDescent="0.3">
      <c r="A315" s="2">
        <v>45605</v>
      </c>
      <c r="B315">
        <f t="shared" si="24"/>
        <v>11</v>
      </c>
      <c r="C315" t="str">
        <f t="shared" si="25"/>
        <v>November</v>
      </c>
      <c r="D315" t="str">
        <f t="shared" si="26"/>
        <v>Saturday</v>
      </c>
      <c r="E315" t="s">
        <v>16</v>
      </c>
      <c r="F315">
        <v>5</v>
      </c>
      <c r="G315">
        <v>4</v>
      </c>
      <c r="H315" s="3">
        <f t="shared" si="27"/>
        <v>0.8</v>
      </c>
      <c r="I315" s="4">
        <v>89</v>
      </c>
      <c r="J315" s="5">
        <f t="shared" si="28"/>
        <v>71.2</v>
      </c>
      <c r="K315" s="5">
        <f t="shared" si="29"/>
        <v>356</v>
      </c>
      <c r="L315" t="s">
        <v>20</v>
      </c>
    </row>
    <row r="316" spans="1:12" x14ac:dyDescent="0.3">
      <c r="A316" s="2">
        <v>45606</v>
      </c>
      <c r="B316">
        <f t="shared" si="24"/>
        <v>11</v>
      </c>
      <c r="C316" t="str">
        <f t="shared" si="25"/>
        <v>November</v>
      </c>
      <c r="D316" t="str">
        <f t="shared" si="26"/>
        <v>Sunday</v>
      </c>
      <c r="E316" t="s">
        <v>16</v>
      </c>
      <c r="F316">
        <v>5</v>
      </c>
      <c r="G316">
        <v>4</v>
      </c>
      <c r="H316" s="3">
        <f t="shared" si="27"/>
        <v>0.8</v>
      </c>
      <c r="I316" s="4">
        <v>89</v>
      </c>
      <c r="J316" s="5">
        <f t="shared" si="28"/>
        <v>71.2</v>
      </c>
      <c r="K316" s="5">
        <f t="shared" si="29"/>
        <v>356</v>
      </c>
      <c r="L316" t="s">
        <v>20</v>
      </c>
    </row>
    <row r="317" spans="1:12" x14ac:dyDescent="0.3">
      <c r="A317" s="2">
        <v>45607</v>
      </c>
      <c r="B317">
        <f t="shared" si="24"/>
        <v>11</v>
      </c>
      <c r="C317" t="str">
        <f t="shared" si="25"/>
        <v>November</v>
      </c>
      <c r="D317" t="str">
        <f t="shared" si="26"/>
        <v>Monday</v>
      </c>
      <c r="E317" t="s">
        <v>16</v>
      </c>
      <c r="F317">
        <v>5</v>
      </c>
      <c r="G317">
        <v>4</v>
      </c>
      <c r="H317" s="3">
        <f t="shared" si="27"/>
        <v>0.8</v>
      </c>
      <c r="I317" s="4">
        <v>89</v>
      </c>
      <c r="J317" s="5">
        <f t="shared" si="28"/>
        <v>71.2</v>
      </c>
      <c r="K317" s="5">
        <f t="shared" si="29"/>
        <v>356</v>
      </c>
      <c r="L317" t="s">
        <v>20</v>
      </c>
    </row>
    <row r="318" spans="1:12" x14ac:dyDescent="0.3">
      <c r="A318" s="2">
        <v>45608</v>
      </c>
      <c r="B318">
        <f t="shared" si="24"/>
        <v>11</v>
      </c>
      <c r="C318" t="str">
        <f t="shared" si="25"/>
        <v>November</v>
      </c>
      <c r="D318" t="str">
        <f t="shared" si="26"/>
        <v>Tuesday</v>
      </c>
      <c r="E318" t="s">
        <v>16</v>
      </c>
      <c r="F318">
        <v>5</v>
      </c>
      <c r="G318">
        <v>4</v>
      </c>
      <c r="H318" s="3">
        <f t="shared" si="27"/>
        <v>0.8</v>
      </c>
      <c r="I318" s="4">
        <v>89</v>
      </c>
      <c r="J318" s="5">
        <f t="shared" si="28"/>
        <v>71.2</v>
      </c>
      <c r="K318" s="5">
        <f t="shared" si="29"/>
        <v>356</v>
      </c>
      <c r="L318" t="s">
        <v>20</v>
      </c>
    </row>
    <row r="319" spans="1:12" x14ac:dyDescent="0.3">
      <c r="A319" s="2">
        <v>45609</v>
      </c>
      <c r="B319">
        <f t="shared" si="24"/>
        <v>11</v>
      </c>
      <c r="C319" t="str">
        <f t="shared" si="25"/>
        <v>November</v>
      </c>
      <c r="D319" t="str">
        <f t="shared" si="26"/>
        <v>Wednesday</v>
      </c>
      <c r="E319" t="s">
        <v>16</v>
      </c>
      <c r="F319">
        <v>5</v>
      </c>
      <c r="G319">
        <v>5</v>
      </c>
      <c r="H319" s="3">
        <f t="shared" si="27"/>
        <v>1</v>
      </c>
      <c r="I319" s="4">
        <v>89</v>
      </c>
      <c r="J319" s="5">
        <f t="shared" si="28"/>
        <v>89</v>
      </c>
      <c r="K319" s="5">
        <f t="shared" si="29"/>
        <v>445</v>
      </c>
      <c r="L319" t="s">
        <v>20</v>
      </c>
    </row>
    <row r="320" spans="1:12" x14ac:dyDescent="0.3">
      <c r="A320" s="2">
        <v>45610</v>
      </c>
      <c r="B320">
        <f t="shared" si="24"/>
        <v>11</v>
      </c>
      <c r="C320" t="str">
        <f t="shared" si="25"/>
        <v>November</v>
      </c>
      <c r="D320" t="str">
        <f t="shared" si="26"/>
        <v>Thursday</v>
      </c>
      <c r="E320" t="s">
        <v>16</v>
      </c>
      <c r="F320">
        <v>5</v>
      </c>
      <c r="G320">
        <v>5</v>
      </c>
      <c r="H320" s="3">
        <f t="shared" si="27"/>
        <v>1</v>
      </c>
      <c r="I320" s="4">
        <v>89</v>
      </c>
      <c r="J320" s="5">
        <f t="shared" si="28"/>
        <v>89</v>
      </c>
      <c r="K320" s="5">
        <f t="shared" si="29"/>
        <v>445</v>
      </c>
      <c r="L320" t="s">
        <v>20</v>
      </c>
    </row>
    <row r="321" spans="1:12" x14ac:dyDescent="0.3">
      <c r="A321" s="2">
        <v>45611</v>
      </c>
      <c r="B321">
        <f t="shared" si="24"/>
        <v>11</v>
      </c>
      <c r="C321" t="str">
        <f t="shared" si="25"/>
        <v>November</v>
      </c>
      <c r="D321" t="str">
        <f t="shared" si="26"/>
        <v>Friday</v>
      </c>
      <c r="E321" t="s">
        <v>16</v>
      </c>
      <c r="F321">
        <v>5</v>
      </c>
      <c r="G321">
        <v>5</v>
      </c>
      <c r="H321" s="3">
        <f t="shared" si="27"/>
        <v>1</v>
      </c>
      <c r="I321" s="4">
        <v>89</v>
      </c>
      <c r="J321" s="5">
        <f t="shared" si="28"/>
        <v>89</v>
      </c>
      <c r="K321" s="5">
        <f t="shared" si="29"/>
        <v>445</v>
      </c>
      <c r="L321" t="s">
        <v>21</v>
      </c>
    </row>
    <row r="322" spans="1:12" x14ac:dyDescent="0.3">
      <c r="A322" s="2">
        <v>45612</v>
      </c>
      <c r="B322">
        <f t="shared" si="24"/>
        <v>11</v>
      </c>
      <c r="C322" t="str">
        <f t="shared" si="25"/>
        <v>November</v>
      </c>
      <c r="D322" t="str">
        <f t="shared" si="26"/>
        <v>Saturday</v>
      </c>
      <c r="E322" t="s">
        <v>16</v>
      </c>
      <c r="F322">
        <v>5</v>
      </c>
      <c r="G322">
        <v>4</v>
      </c>
      <c r="H322" s="3">
        <f t="shared" si="27"/>
        <v>0.8</v>
      </c>
      <c r="I322" s="4">
        <v>89</v>
      </c>
      <c r="J322" s="5">
        <f t="shared" si="28"/>
        <v>71.2</v>
      </c>
      <c r="K322" s="5">
        <f t="shared" si="29"/>
        <v>356</v>
      </c>
      <c r="L322" t="s">
        <v>21</v>
      </c>
    </row>
    <row r="323" spans="1:12" x14ac:dyDescent="0.3">
      <c r="A323" s="2">
        <v>45613</v>
      </c>
      <c r="B323">
        <f t="shared" ref="B323:B367" si="30">MONTH(A323)</f>
        <v>11</v>
      </c>
      <c r="C323" t="str">
        <f t="shared" ref="C323:C367" si="31">TEXT(A323,"MMMM")</f>
        <v>November</v>
      </c>
      <c r="D323" t="str">
        <f t="shared" ref="D323:D367" si="32">TEXT(A323,"dddd")</f>
        <v>Sunday</v>
      </c>
      <c r="E323" t="s">
        <v>16</v>
      </c>
      <c r="F323">
        <v>5</v>
      </c>
      <c r="G323">
        <v>5</v>
      </c>
      <c r="H323" s="3">
        <f t="shared" ref="H323:H367" si="33">G323/F323</f>
        <v>1</v>
      </c>
      <c r="I323" s="4">
        <v>89</v>
      </c>
      <c r="J323" s="5">
        <f t="shared" ref="J323:J367" si="34">I323*H323</f>
        <v>89</v>
      </c>
      <c r="K323" s="5">
        <f t="shared" ref="K323:K367" si="35">I323*G323</f>
        <v>445</v>
      </c>
      <c r="L323" t="s">
        <v>21</v>
      </c>
    </row>
    <row r="324" spans="1:12" x14ac:dyDescent="0.3">
      <c r="A324" s="2">
        <v>45614</v>
      </c>
      <c r="B324">
        <f t="shared" si="30"/>
        <v>11</v>
      </c>
      <c r="C324" t="str">
        <f t="shared" si="31"/>
        <v>November</v>
      </c>
      <c r="D324" t="str">
        <f t="shared" si="32"/>
        <v>Monday</v>
      </c>
      <c r="E324" t="s">
        <v>16</v>
      </c>
      <c r="F324">
        <v>5</v>
      </c>
      <c r="G324">
        <v>3</v>
      </c>
      <c r="H324" s="3">
        <f t="shared" si="33"/>
        <v>0.6</v>
      </c>
      <c r="I324" s="4">
        <v>89</v>
      </c>
      <c r="J324" s="5">
        <f t="shared" si="34"/>
        <v>53.4</v>
      </c>
      <c r="K324" s="5">
        <f t="shared" si="35"/>
        <v>267</v>
      </c>
      <c r="L324" t="s">
        <v>21</v>
      </c>
    </row>
    <row r="325" spans="1:12" x14ac:dyDescent="0.3">
      <c r="A325" s="2">
        <v>45615</v>
      </c>
      <c r="B325">
        <f t="shared" si="30"/>
        <v>11</v>
      </c>
      <c r="C325" t="str">
        <f t="shared" si="31"/>
        <v>November</v>
      </c>
      <c r="D325" t="str">
        <f t="shared" si="32"/>
        <v>Tuesday</v>
      </c>
      <c r="E325" t="s">
        <v>16</v>
      </c>
      <c r="F325">
        <v>5</v>
      </c>
      <c r="G325">
        <v>4</v>
      </c>
      <c r="H325" s="3">
        <f t="shared" si="33"/>
        <v>0.8</v>
      </c>
      <c r="I325" s="4">
        <v>89</v>
      </c>
      <c r="J325" s="5">
        <f t="shared" si="34"/>
        <v>71.2</v>
      </c>
      <c r="K325" s="5">
        <f t="shared" si="35"/>
        <v>356</v>
      </c>
      <c r="L325" t="s">
        <v>21</v>
      </c>
    </row>
    <row r="326" spans="1:12" x14ac:dyDescent="0.3">
      <c r="A326" s="2">
        <v>45616</v>
      </c>
      <c r="B326">
        <f t="shared" si="30"/>
        <v>11</v>
      </c>
      <c r="C326" t="str">
        <f t="shared" si="31"/>
        <v>November</v>
      </c>
      <c r="D326" t="str">
        <f t="shared" si="32"/>
        <v>Wednesday</v>
      </c>
      <c r="E326" t="s">
        <v>16</v>
      </c>
      <c r="F326">
        <v>5</v>
      </c>
      <c r="G326">
        <v>3</v>
      </c>
      <c r="H326" s="3">
        <f t="shared" si="33"/>
        <v>0.6</v>
      </c>
      <c r="I326" s="4">
        <v>89</v>
      </c>
      <c r="J326" s="5">
        <f t="shared" si="34"/>
        <v>53.4</v>
      </c>
      <c r="K326" s="5">
        <f t="shared" si="35"/>
        <v>267</v>
      </c>
      <c r="L326" t="s">
        <v>21</v>
      </c>
    </row>
    <row r="327" spans="1:12" x14ac:dyDescent="0.3">
      <c r="A327" s="2">
        <v>45617</v>
      </c>
      <c r="B327">
        <f t="shared" si="30"/>
        <v>11</v>
      </c>
      <c r="C327" t="str">
        <f t="shared" si="31"/>
        <v>November</v>
      </c>
      <c r="D327" t="str">
        <f t="shared" si="32"/>
        <v>Thursday</v>
      </c>
      <c r="E327" t="s">
        <v>12</v>
      </c>
      <c r="F327">
        <v>40</v>
      </c>
      <c r="G327">
        <v>31</v>
      </c>
      <c r="H327" s="3">
        <f t="shared" si="33"/>
        <v>0.77500000000000002</v>
      </c>
      <c r="I327" s="4">
        <v>89</v>
      </c>
      <c r="J327" s="5">
        <f t="shared" si="34"/>
        <v>68.975000000000009</v>
      </c>
      <c r="K327" s="5">
        <f t="shared" si="35"/>
        <v>2759</v>
      </c>
      <c r="L327" t="s">
        <v>21</v>
      </c>
    </row>
    <row r="328" spans="1:12" x14ac:dyDescent="0.3">
      <c r="A328" s="2">
        <v>45618</v>
      </c>
      <c r="B328">
        <f t="shared" si="30"/>
        <v>11</v>
      </c>
      <c r="C328" t="str">
        <f t="shared" si="31"/>
        <v>November</v>
      </c>
      <c r="D328" t="str">
        <f t="shared" si="32"/>
        <v>Friday</v>
      </c>
      <c r="E328" t="s">
        <v>12</v>
      </c>
      <c r="F328">
        <v>40</v>
      </c>
      <c r="G328">
        <v>27</v>
      </c>
      <c r="H328" s="3">
        <f t="shared" si="33"/>
        <v>0.67500000000000004</v>
      </c>
      <c r="I328" s="4">
        <v>89</v>
      </c>
      <c r="J328" s="5">
        <f t="shared" si="34"/>
        <v>60.075000000000003</v>
      </c>
      <c r="K328" s="5">
        <f t="shared" si="35"/>
        <v>2403</v>
      </c>
      <c r="L328" t="s">
        <v>21</v>
      </c>
    </row>
    <row r="329" spans="1:12" x14ac:dyDescent="0.3">
      <c r="A329" s="2">
        <v>45619</v>
      </c>
      <c r="B329">
        <f t="shared" si="30"/>
        <v>11</v>
      </c>
      <c r="C329" t="str">
        <f t="shared" si="31"/>
        <v>November</v>
      </c>
      <c r="D329" t="str">
        <f t="shared" si="32"/>
        <v>Saturday</v>
      </c>
      <c r="E329" t="s">
        <v>12</v>
      </c>
      <c r="F329">
        <v>40</v>
      </c>
      <c r="G329">
        <v>29</v>
      </c>
      <c r="H329" s="3">
        <f t="shared" si="33"/>
        <v>0.72499999999999998</v>
      </c>
      <c r="I329" s="4">
        <v>89</v>
      </c>
      <c r="J329" s="5">
        <f t="shared" si="34"/>
        <v>64.524999999999991</v>
      </c>
      <c r="K329" s="5">
        <f t="shared" si="35"/>
        <v>2581</v>
      </c>
      <c r="L329" t="s">
        <v>21</v>
      </c>
    </row>
    <row r="330" spans="1:12" x14ac:dyDescent="0.3">
      <c r="A330" s="2">
        <v>45620</v>
      </c>
      <c r="B330">
        <f t="shared" si="30"/>
        <v>11</v>
      </c>
      <c r="C330" t="str">
        <f t="shared" si="31"/>
        <v>November</v>
      </c>
      <c r="D330" t="str">
        <f t="shared" si="32"/>
        <v>Sunday</v>
      </c>
      <c r="E330" t="s">
        <v>12</v>
      </c>
      <c r="F330">
        <v>40</v>
      </c>
      <c r="G330">
        <v>35</v>
      </c>
      <c r="H330" s="3">
        <f t="shared" si="33"/>
        <v>0.875</v>
      </c>
      <c r="I330" s="4">
        <v>89</v>
      </c>
      <c r="J330" s="5">
        <f t="shared" si="34"/>
        <v>77.875</v>
      </c>
      <c r="K330" s="5">
        <f t="shared" si="35"/>
        <v>3115</v>
      </c>
      <c r="L330" t="s">
        <v>21</v>
      </c>
    </row>
    <row r="331" spans="1:12" x14ac:dyDescent="0.3">
      <c r="A331" s="2">
        <v>45621</v>
      </c>
      <c r="B331">
        <f t="shared" si="30"/>
        <v>11</v>
      </c>
      <c r="C331" t="str">
        <f t="shared" si="31"/>
        <v>November</v>
      </c>
      <c r="D331" t="str">
        <f t="shared" si="32"/>
        <v>Monday</v>
      </c>
      <c r="E331" t="s">
        <v>12</v>
      </c>
      <c r="F331">
        <v>40</v>
      </c>
      <c r="G331">
        <v>38</v>
      </c>
      <c r="H331" s="3">
        <f t="shared" si="33"/>
        <v>0.95</v>
      </c>
      <c r="I331" s="4">
        <v>89</v>
      </c>
      <c r="J331" s="5">
        <f t="shared" si="34"/>
        <v>84.55</v>
      </c>
      <c r="K331" s="5">
        <f t="shared" si="35"/>
        <v>3382</v>
      </c>
      <c r="L331" t="s">
        <v>21</v>
      </c>
    </row>
    <row r="332" spans="1:12" x14ac:dyDescent="0.3">
      <c r="A332" s="2">
        <v>45622</v>
      </c>
      <c r="B332">
        <f t="shared" si="30"/>
        <v>11</v>
      </c>
      <c r="C332" t="str">
        <f t="shared" si="31"/>
        <v>November</v>
      </c>
      <c r="D332" t="str">
        <f t="shared" si="32"/>
        <v>Tuesday</v>
      </c>
      <c r="E332" t="s">
        <v>12</v>
      </c>
      <c r="F332">
        <v>40</v>
      </c>
      <c r="G332">
        <v>26</v>
      </c>
      <c r="H332" s="3">
        <f t="shared" si="33"/>
        <v>0.65</v>
      </c>
      <c r="I332" s="4">
        <v>89</v>
      </c>
      <c r="J332" s="5">
        <f t="shared" si="34"/>
        <v>57.85</v>
      </c>
      <c r="K332" s="5">
        <f t="shared" si="35"/>
        <v>2314</v>
      </c>
      <c r="L332" t="s">
        <v>21</v>
      </c>
    </row>
    <row r="333" spans="1:12" x14ac:dyDescent="0.3">
      <c r="A333" s="2">
        <v>45623</v>
      </c>
      <c r="B333">
        <f t="shared" si="30"/>
        <v>11</v>
      </c>
      <c r="C333" t="str">
        <f t="shared" si="31"/>
        <v>November</v>
      </c>
      <c r="D333" t="str">
        <f t="shared" si="32"/>
        <v>Wednesday</v>
      </c>
      <c r="E333" t="s">
        <v>12</v>
      </c>
      <c r="F333">
        <v>40</v>
      </c>
      <c r="G333">
        <v>38</v>
      </c>
      <c r="H333" s="3">
        <f t="shared" si="33"/>
        <v>0.95</v>
      </c>
      <c r="I333" s="4">
        <v>89</v>
      </c>
      <c r="J333" s="5">
        <f t="shared" si="34"/>
        <v>84.55</v>
      </c>
      <c r="K333" s="5">
        <f t="shared" si="35"/>
        <v>3382</v>
      </c>
      <c r="L333" t="s">
        <v>21</v>
      </c>
    </row>
    <row r="334" spans="1:12" x14ac:dyDescent="0.3">
      <c r="A334" s="2">
        <v>45624</v>
      </c>
      <c r="B334">
        <f t="shared" si="30"/>
        <v>11</v>
      </c>
      <c r="C334" t="str">
        <f t="shared" si="31"/>
        <v>November</v>
      </c>
      <c r="D334" t="str">
        <f t="shared" si="32"/>
        <v>Thursday</v>
      </c>
      <c r="E334" t="s">
        <v>12</v>
      </c>
      <c r="F334">
        <v>40</v>
      </c>
      <c r="G334">
        <v>38</v>
      </c>
      <c r="H334" s="3">
        <f t="shared" si="33"/>
        <v>0.95</v>
      </c>
      <c r="I334" s="4">
        <v>89</v>
      </c>
      <c r="J334" s="5">
        <f t="shared" si="34"/>
        <v>84.55</v>
      </c>
      <c r="K334" s="5">
        <f t="shared" si="35"/>
        <v>3382</v>
      </c>
      <c r="L334" t="s">
        <v>21</v>
      </c>
    </row>
    <row r="335" spans="1:12" x14ac:dyDescent="0.3">
      <c r="A335" s="2">
        <v>45625</v>
      </c>
      <c r="B335">
        <f t="shared" si="30"/>
        <v>11</v>
      </c>
      <c r="C335" t="str">
        <f t="shared" si="31"/>
        <v>November</v>
      </c>
      <c r="D335" t="str">
        <f t="shared" si="32"/>
        <v>Friday</v>
      </c>
      <c r="E335" t="s">
        <v>12</v>
      </c>
      <c r="F335">
        <v>40</v>
      </c>
      <c r="G335">
        <v>34</v>
      </c>
      <c r="H335" s="3">
        <f t="shared" si="33"/>
        <v>0.85</v>
      </c>
      <c r="I335" s="4">
        <v>89</v>
      </c>
      <c r="J335" s="5">
        <f t="shared" si="34"/>
        <v>75.649999999999991</v>
      </c>
      <c r="K335" s="5">
        <f t="shared" si="35"/>
        <v>3026</v>
      </c>
      <c r="L335" t="s">
        <v>21</v>
      </c>
    </row>
    <row r="336" spans="1:12" x14ac:dyDescent="0.3">
      <c r="A336" s="2">
        <v>45626</v>
      </c>
      <c r="B336">
        <f t="shared" si="30"/>
        <v>11</v>
      </c>
      <c r="C336" t="str">
        <f t="shared" si="31"/>
        <v>November</v>
      </c>
      <c r="D336" t="str">
        <f t="shared" si="32"/>
        <v>Saturday</v>
      </c>
      <c r="E336" t="s">
        <v>12</v>
      </c>
      <c r="F336">
        <v>40</v>
      </c>
      <c r="G336">
        <v>26</v>
      </c>
      <c r="H336" s="3">
        <f t="shared" si="33"/>
        <v>0.65</v>
      </c>
      <c r="I336" s="4">
        <v>89</v>
      </c>
      <c r="J336" s="5">
        <f t="shared" si="34"/>
        <v>57.85</v>
      </c>
      <c r="K336" s="5">
        <f t="shared" si="35"/>
        <v>2314</v>
      </c>
      <c r="L336" t="s">
        <v>21</v>
      </c>
    </row>
    <row r="337" spans="1:12" x14ac:dyDescent="0.3">
      <c r="A337" s="2">
        <v>45627</v>
      </c>
      <c r="B337">
        <f t="shared" si="30"/>
        <v>12</v>
      </c>
      <c r="C337" t="str">
        <f t="shared" si="31"/>
        <v>December</v>
      </c>
      <c r="D337" t="str">
        <f t="shared" si="32"/>
        <v>Sunday</v>
      </c>
      <c r="E337" t="s">
        <v>12</v>
      </c>
      <c r="F337">
        <v>40</v>
      </c>
      <c r="G337">
        <v>26</v>
      </c>
      <c r="H337" s="3">
        <f t="shared" si="33"/>
        <v>0.65</v>
      </c>
      <c r="I337" s="4">
        <v>89</v>
      </c>
      <c r="J337" s="5">
        <f t="shared" si="34"/>
        <v>57.85</v>
      </c>
      <c r="K337" s="5">
        <f t="shared" si="35"/>
        <v>2314</v>
      </c>
      <c r="L337" t="s">
        <v>21</v>
      </c>
    </row>
    <row r="338" spans="1:12" x14ac:dyDescent="0.3">
      <c r="A338" s="2">
        <v>45628</v>
      </c>
      <c r="B338">
        <f t="shared" si="30"/>
        <v>12</v>
      </c>
      <c r="C338" t="str">
        <f t="shared" si="31"/>
        <v>December</v>
      </c>
      <c r="D338" t="str">
        <f t="shared" si="32"/>
        <v>Monday</v>
      </c>
      <c r="E338" t="s">
        <v>16</v>
      </c>
      <c r="F338">
        <v>5</v>
      </c>
      <c r="G338">
        <v>3</v>
      </c>
      <c r="H338" s="3">
        <f t="shared" si="33"/>
        <v>0.6</v>
      </c>
      <c r="I338" s="4">
        <v>89</v>
      </c>
      <c r="J338" s="5">
        <f t="shared" si="34"/>
        <v>53.4</v>
      </c>
      <c r="K338" s="5">
        <f t="shared" si="35"/>
        <v>267</v>
      </c>
      <c r="L338" t="s">
        <v>21</v>
      </c>
    </row>
    <row r="339" spans="1:12" x14ac:dyDescent="0.3">
      <c r="A339" s="2">
        <v>45629</v>
      </c>
      <c r="B339">
        <f t="shared" si="30"/>
        <v>12</v>
      </c>
      <c r="C339" t="str">
        <f t="shared" si="31"/>
        <v>December</v>
      </c>
      <c r="D339" t="str">
        <f t="shared" si="32"/>
        <v>Tuesday</v>
      </c>
      <c r="E339" t="s">
        <v>12</v>
      </c>
      <c r="F339">
        <v>40</v>
      </c>
      <c r="G339">
        <v>34</v>
      </c>
      <c r="H339" s="3">
        <f t="shared" si="33"/>
        <v>0.85</v>
      </c>
      <c r="I339" s="4">
        <v>89</v>
      </c>
      <c r="J339" s="5">
        <f t="shared" si="34"/>
        <v>75.649999999999991</v>
      </c>
      <c r="K339" s="5">
        <f t="shared" si="35"/>
        <v>3026</v>
      </c>
      <c r="L339" t="s">
        <v>21</v>
      </c>
    </row>
    <row r="340" spans="1:12" x14ac:dyDescent="0.3">
      <c r="A340" s="2">
        <v>45630</v>
      </c>
      <c r="B340">
        <f t="shared" si="30"/>
        <v>12</v>
      </c>
      <c r="C340" t="str">
        <f t="shared" si="31"/>
        <v>December</v>
      </c>
      <c r="D340" t="str">
        <f t="shared" si="32"/>
        <v>Wednesday</v>
      </c>
      <c r="E340" t="s">
        <v>15</v>
      </c>
      <c r="F340">
        <v>10</v>
      </c>
      <c r="G340">
        <v>8</v>
      </c>
      <c r="H340" s="3">
        <f t="shared" si="33"/>
        <v>0.8</v>
      </c>
      <c r="I340" s="4">
        <v>89</v>
      </c>
      <c r="J340" s="5">
        <f t="shared" si="34"/>
        <v>71.2</v>
      </c>
      <c r="K340" s="5">
        <f t="shared" si="35"/>
        <v>712</v>
      </c>
      <c r="L340" t="s">
        <v>21</v>
      </c>
    </row>
    <row r="341" spans="1:12" x14ac:dyDescent="0.3">
      <c r="A341" s="2">
        <v>45631</v>
      </c>
      <c r="B341">
        <f t="shared" si="30"/>
        <v>12</v>
      </c>
      <c r="C341" t="str">
        <f t="shared" si="31"/>
        <v>December</v>
      </c>
      <c r="D341" t="str">
        <f t="shared" si="32"/>
        <v>Thursday</v>
      </c>
      <c r="E341" t="s">
        <v>13</v>
      </c>
      <c r="F341">
        <v>30</v>
      </c>
      <c r="G341">
        <v>26</v>
      </c>
      <c r="H341" s="3">
        <f t="shared" si="33"/>
        <v>0.8666666666666667</v>
      </c>
      <c r="I341" s="4">
        <v>89</v>
      </c>
      <c r="J341" s="5">
        <f t="shared" si="34"/>
        <v>77.13333333333334</v>
      </c>
      <c r="K341" s="5">
        <f t="shared" si="35"/>
        <v>2314</v>
      </c>
      <c r="L341" t="s">
        <v>21</v>
      </c>
    </row>
    <row r="342" spans="1:12" x14ac:dyDescent="0.3">
      <c r="A342" s="2">
        <v>45632</v>
      </c>
      <c r="B342">
        <f t="shared" si="30"/>
        <v>12</v>
      </c>
      <c r="C342" t="str">
        <f t="shared" si="31"/>
        <v>December</v>
      </c>
      <c r="D342" t="str">
        <f t="shared" si="32"/>
        <v>Friday</v>
      </c>
      <c r="E342" t="s">
        <v>12</v>
      </c>
      <c r="F342">
        <v>40</v>
      </c>
      <c r="G342">
        <v>31</v>
      </c>
      <c r="H342" s="3">
        <f t="shared" si="33"/>
        <v>0.77500000000000002</v>
      </c>
      <c r="I342" s="4">
        <v>89</v>
      </c>
      <c r="J342" s="5">
        <f t="shared" si="34"/>
        <v>68.975000000000009</v>
      </c>
      <c r="K342" s="5">
        <f t="shared" si="35"/>
        <v>2759</v>
      </c>
      <c r="L342" t="s">
        <v>21</v>
      </c>
    </row>
    <row r="343" spans="1:12" x14ac:dyDescent="0.3">
      <c r="A343" s="2">
        <v>45633</v>
      </c>
      <c r="B343">
        <f t="shared" si="30"/>
        <v>12</v>
      </c>
      <c r="C343" t="str">
        <f t="shared" si="31"/>
        <v>December</v>
      </c>
      <c r="D343" t="str">
        <f t="shared" si="32"/>
        <v>Saturday</v>
      </c>
      <c r="E343" t="s">
        <v>14</v>
      </c>
      <c r="F343">
        <v>15</v>
      </c>
      <c r="G343">
        <v>14</v>
      </c>
      <c r="H343" s="3">
        <f t="shared" si="33"/>
        <v>0.93333333333333335</v>
      </c>
      <c r="I343" s="4">
        <v>89</v>
      </c>
      <c r="J343" s="5">
        <f t="shared" si="34"/>
        <v>83.066666666666663</v>
      </c>
      <c r="K343" s="5">
        <f t="shared" si="35"/>
        <v>1246</v>
      </c>
      <c r="L343" t="s">
        <v>21</v>
      </c>
    </row>
    <row r="344" spans="1:12" x14ac:dyDescent="0.3">
      <c r="A344" s="2">
        <v>45634</v>
      </c>
      <c r="B344">
        <f t="shared" si="30"/>
        <v>12</v>
      </c>
      <c r="C344" t="str">
        <f t="shared" si="31"/>
        <v>December</v>
      </c>
      <c r="D344" t="str">
        <f t="shared" si="32"/>
        <v>Sunday</v>
      </c>
      <c r="E344" t="s">
        <v>12</v>
      </c>
      <c r="F344">
        <v>40</v>
      </c>
      <c r="G344">
        <v>38</v>
      </c>
      <c r="H344" s="3">
        <f t="shared" si="33"/>
        <v>0.95</v>
      </c>
      <c r="I344" s="4">
        <v>89</v>
      </c>
      <c r="J344" s="5">
        <f t="shared" si="34"/>
        <v>84.55</v>
      </c>
      <c r="K344" s="5">
        <f t="shared" si="35"/>
        <v>3382</v>
      </c>
      <c r="L344" t="s">
        <v>21</v>
      </c>
    </row>
    <row r="345" spans="1:12" x14ac:dyDescent="0.3">
      <c r="A345" s="2">
        <v>45635</v>
      </c>
      <c r="B345">
        <f t="shared" si="30"/>
        <v>12</v>
      </c>
      <c r="C345" t="str">
        <f t="shared" si="31"/>
        <v>December</v>
      </c>
      <c r="D345" t="str">
        <f t="shared" si="32"/>
        <v>Monday</v>
      </c>
      <c r="E345" t="s">
        <v>16</v>
      </c>
      <c r="F345">
        <v>5</v>
      </c>
      <c r="G345">
        <v>4</v>
      </c>
      <c r="H345" s="3">
        <f t="shared" si="33"/>
        <v>0.8</v>
      </c>
      <c r="I345" s="4">
        <v>89</v>
      </c>
      <c r="J345" s="5">
        <f t="shared" si="34"/>
        <v>71.2</v>
      </c>
      <c r="K345" s="5">
        <f t="shared" si="35"/>
        <v>356</v>
      </c>
      <c r="L345" t="s">
        <v>21</v>
      </c>
    </row>
    <row r="346" spans="1:12" x14ac:dyDescent="0.3">
      <c r="A346" s="2">
        <v>45636</v>
      </c>
      <c r="B346">
        <f t="shared" si="30"/>
        <v>12</v>
      </c>
      <c r="C346" t="str">
        <f t="shared" si="31"/>
        <v>December</v>
      </c>
      <c r="D346" t="str">
        <f t="shared" si="32"/>
        <v>Tuesday</v>
      </c>
      <c r="E346" t="s">
        <v>12</v>
      </c>
      <c r="F346">
        <v>40</v>
      </c>
      <c r="G346">
        <v>28</v>
      </c>
      <c r="H346" s="3">
        <f t="shared" si="33"/>
        <v>0.7</v>
      </c>
      <c r="I346" s="4">
        <v>89</v>
      </c>
      <c r="J346" s="5">
        <f t="shared" si="34"/>
        <v>62.3</v>
      </c>
      <c r="K346" s="5">
        <f t="shared" si="35"/>
        <v>2492</v>
      </c>
      <c r="L346" t="s">
        <v>21</v>
      </c>
    </row>
    <row r="347" spans="1:12" x14ac:dyDescent="0.3">
      <c r="A347" s="2">
        <v>45637</v>
      </c>
      <c r="B347">
        <f t="shared" si="30"/>
        <v>12</v>
      </c>
      <c r="C347" t="str">
        <f t="shared" si="31"/>
        <v>December</v>
      </c>
      <c r="D347" t="str">
        <f t="shared" si="32"/>
        <v>Wednesday</v>
      </c>
      <c r="E347" t="s">
        <v>12</v>
      </c>
      <c r="F347">
        <v>40</v>
      </c>
      <c r="G347">
        <v>26</v>
      </c>
      <c r="H347" s="3">
        <f t="shared" si="33"/>
        <v>0.65</v>
      </c>
      <c r="I347" s="4">
        <v>89</v>
      </c>
      <c r="J347" s="5">
        <f t="shared" si="34"/>
        <v>57.85</v>
      </c>
      <c r="K347" s="5">
        <f t="shared" si="35"/>
        <v>2314</v>
      </c>
      <c r="L347" t="s">
        <v>21</v>
      </c>
    </row>
    <row r="348" spans="1:12" x14ac:dyDescent="0.3">
      <c r="A348" s="2">
        <v>45638</v>
      </c>
      <c r="B348">
        <f t="shared" si="30"/>
        <v>12</v>
      </c>
      <c r="C348" t="str">
        <f t="shared" si="31"/>
        <v>December</v>
      </c>
      <c r="D348" t="str">
        <f t="shared" si="32"/>
        <v>Thursday</v>
      </c>
      <c r="E348" t="s">
        <v>13</v>
      </c>
      <c r="F348">
        <v>30</v>
      </c>
      <c r="G348">
        <v>27</v>
      </c>
      <c r="H348" s="3">
        <f t="shared" si="33"/>
        <v>0.9</v>
      </c>
      <c r="I348" s="4">
        <v>89</v>
      </c>
      <c r="J348" s="5">
        <f t="shared" si="34"/>
        <v>80.100000000000009</v>
      </c>
      <c r="K348" s="5">
        <f t="shared" si="35"/>
        <v>2403</v>
      </c>
      <c r="L348" t="s">
        <v>21</v>
      </c>
    </row>
    <row r="349" spans="1:12" x14ac:dyDescent="0.3">
      <c r="A349" s="2">
        <v>45639</v>
      </c>
      <c r="B349">
        <f t="shared" si="30"/>
        <v>12</v>
      </c>
      <c r="C349" t="str">
        <f t="shared" si="31"/>
        <v>December</v>
      </c>
      <c r="D349" t="str">
        <f t="shared" si="32"/>
        <v>Friday</v>
      </c>
      <c r="E349" t="s">
        <v>12</v>
      </c>
      <c r="F349">
        <v>40</v>
      </c>
      <c r="G349">
        <v>32</v>
      </c>
      <c r="H349" s="3">
        <f t="shared" si="33"/>
        <v>0.8</v>
      </c>
      <c r="I349" s="4">
        <v>89</v>
      </c>
      <c r="J349" s="5">
        <f t="shared" si="34"/>
        <v>71.2</v>
      </c>
      <c r="K349" s="5">
        <f t="shared" si="35"/>
        <v>2848</v>
      </c>
      <c r="L349" t="s">
        <v>21</v>
      </c>
    </row>
    <row r="350" spans="1:12" x14ac:dyDescent="0.3">
      <c r="A350" s="2">
        <v>45640</v>
      </c>
      <c r="B350">
        <f t="shared" si="30"/>
        <v>12</v>
      </c>
      <c r="C350" t="str">
        <f t="shared" si="31"/>
        <v>December</v>
      </c>
      <c r="D350" t="str">
        <f t="shared" si="32"/>
        <v>Saturday</v>
      </c>
      <c r="E350" t="s">
        <v>15</v>
      </c>
      <c r="F350">
        <v>10</v>
      </c>
      <c r="G350">
        <v>8</v>
      </c>
      <c r="H350" s="3">
        <f t="shared" si="33"/>
        <v>0.8</v>
      </c>
      <c r="I350" s="4">
        <v>89</v>
      </c>
      <c r="J350" s="5">
        <f t="shared" si="34"/>
        <v>71.2</v>
      </c>
      <c r="K350" s="5">
        <f t="shared" si="35"/>
        <v>712</v>
      </c>
      <c r="L350" t="s">
        <v>21</v>
      </c>
    </row>
    <row r="351" spans="1:12" x14ac:dyDescent="0.3">
      <c r="A351" s="2">
        <v>45641</v>
      </c>
      <c r="B351">
        <f t="shared" si="30"/>
        <v>12</v>
      </c>
      <c r="C351" t="str">
        <f t="shared" si="31"/>
        <v>December</v>
      </c>
      <c r="D351" t="str">
        <f t="shared" si="32"/>
        <v>Sunday</v>
      </c>
      <c r="E351" t="s">
        <v>12</v>
      </c>
      <c r="F351">
        <v>40</v>
      </c>
      <c r="G351">
        <v>38</v>
      </c>
      <c r="H351" s="3">
        <f t="shared" si="33"/>
        <v>0.95</v>
      </c>
      <c r="I351" s="4">
        <v>89</v>
      </c>
      <c r="J351" s="5">
        <f t="shared" si="34"/>
        <v>84.55</v>
      </c>
      <c r="K351" s="5">
        <f t="shared" si="35"/>
        <v>3382</v>
      </c>
      <c r="L351" t="s">
        <v>21</v>
      </c>
    </row>
    <row r="352" spans="1:12" x14ac:dyDescent="0.3">
      <c r="A352" s="2">
        <v>45642</v>
      </c>
      <c r="B352">
        <f t="shared" si="30"/>
        <v>12</v>
      </c>
      <c r="C352" t="str">
        <f t="shared" si="31"/>
        <v>December</v>
      </c>
      <c r="D352" t="str">
        <f t="shared" si="32"/>
        <v>Monday</v>
      </c>
      <c r="E352" t="s">
        <v>15</v>
      </c>
      <c r="F352">
        <v>10</v>
      </c>
      <c r="G352">
        <v>8</v>
      </c>
      <c r="H352" s="3">
        <f t="shared" si="33"/>
        <v>0.8</v>
      </c>
      <c r="I352" s="4">
        <v>89</v>
      </c>
      <c r="J352" s="5">
        <f t="shared" si="34"/>
        <v>71.2</v>
      </c>
      <c r="K352" s="5">
        <f t="shared" si="35"/>
        <v>712</v>
      </c>
      <c r="L352" t="s">
        <v>21</v>
      </c>
    </row>
    <row r="353" spans="1:12" x14ac:dyDescent="0.3">
      <c r="A353" s="2">
        <v>45643</v>
      </c>
      <c r="B353">
        <f t="shared" si="30"/>
        <v>12</v>
      </c>
      <c r="C353" t="str">
        <f t="shared" si="31"/>
        <v>December</v>
      </c>
      <c r="D353" t="str">
        <f t="shared" si="32"/>
        <v>Tuesday</v>
      </c>
      <c r="E353" t="s">
        <v>12</v>
      </c>
      <c r="F353">
        <v>40</v>
      </c>
      <c r="G353">
        <v>38</v>
      </c>
      <c r="H353" s="3">
        <f t="shared" si="33"/>
        <v>0.95</v>
      </c>
      <c r="I353" s="4">
        <v>89</v>
      </c>
      <c r="J353" s="5">
        <f t="shared" si="34"/>
        <v>84.55</v>
      </c>
      <c r="K353" s="5">
        <f t="shared" si="35"/>
        <v>3382</v>
      </c>
      <c r="L353" t="s">
        <v>21</v>
      </c>
    </row>
    <row r="354" spans="1:12" x14ac:dyDescent="0.3">
      <c r="A354" s="2">
        <v>45644</v>
      </c>
      <c r="B354">
        <f t="shared" si="30"/>
        <v>12</v>
      </c>
      <c r="C354" t="str">
        <f t="shared" si="31"/>
        <v>December</v>
      </c>
      <c r="D354" t="str">
        <f t="shared" si="32"/>
        <v>Wednesday</v>
      </c>
      <c r="E354" t="s">
        <v>13</v>
      </c>
      <c r="F354">
        <v>30</v>
      </c>
      <c r="G354">
        <v>22</v>
      </c>
      <c r="H354" s="3">
        <f t="shared" si="33"/>
        <v>0.73333333333333328</v>
      </c>
      <c r="I354" s="4">
        <v>89</v>
      </c>
      <c r="J354" s="5">
        <f t="shared" si="34"/>
        <v>65.266666666666666</v>
      </c>
      <c r="K354" s="5">
        <f t="shared" si="35"/>
        <v>1958</v>
      </c>
      <c r="L354" t="s">
        <v>21</v>
      </c>
    </row>
    <row r="355" spans="1:12" x14ac:dyDescent="0.3">
      <c r="A355" s="2">
        <v>45645</v>
      </c>
      <c r="B355">
        <f t="shared" si="30"/>
        <v>12</v>
      </c>
      <c r="C355" t="str">
        <f t="shared" si="31"/>
        <v>December</v>
      </c>
      <c r="D355" t="str">
        <f t="shared" si="32"/>
        <v>Thursday</v>
      </c>
      <c r="E355" t="s">
        <v>12</v>
      </c>
      <c r="F355">
        <v>40</v>
      </c>
      <c r="G355">
        <v>36</v>
      </c>
      <c r="H355" s="3">
        <f t="shared" si="33"/>
        <v>0.9</v>
      </c>
      <c r="I355" s="4">
        <v>89</v>
      </c>
      <c r="J355" s="5">
        <f t="shared" si="34"/>
        <v>80.100000000000009</v>
      </c>
      <c r="K355" s="5">
        <f t="shared" si="35"/>
        <v>3204</v>
      </c>
      <c r="L355" t="s">
        <v>21</v>
      </c>
    </row>
    <row r="356" spans="1:12" x14ac:dyDescent="0.3">
      <c r="A356" s="2">
        <v>45646</v>
      </c>
      <c r="B356">
        <f t="shared" si="30"/>
        <v>12</v>
      </c>
      <c r="C356" t="str">
        <f t="shared" si="31"/>
        <v>December</v>
      </c>
      <c r="D356" t="str">
        <f t="shared" si="32"/>
        <v>Friday</v>
      </c>
      <c r="E356" t="s">
        <v>16</v>
      </c>
      <c r="F356">
        <v>5</v>
      </c>
      <c r="G356">
        <v>5</v>
      </c>
      <c r="H356" s="3">
        <f t="shared" si="33"/>
        <v>1</v>
      </c>
      <c r="I356" s="4">
        <v>89</v>
      </c>
      <c r="J356" s="5">
        <f t="shared" si="34"/>
        <v>89</v>
      </c>
      <c r="K356" s="5">
        <f t="shared" si="35"/>
        <v>445</v>
      </c>
      <c r="L356" t="s">
        <v>21</v>
      </c>
    </row>
    <row r="357" spans="1:12" x14ac:dyDescent="0.3">
      <c r="A357" s="2">
        <v>45647</v>
      </c>
      <c r="B357">
        <f t="shared" si="30"/>
        <v>12</v>
      </c>
      <c r="C357" t="str">
        <f t="shared" si="31"/>
        <v>December</v>
      </c>
      <c r="D357" t="str">
        <f t="shared" si="32"/>
        <v>Saturday</v>
      </c>
      <c r="E357" t="s">
        <v>15</v>
      </c>
      <c r="F357">
        <v>10</v>
      </c>
      <c r="G357">
        <v>8</v>
      </c>
      <c r="H357" s="3">
        <f t="shared" si="33"/>
        <v>0.8</v>
      </c>
      <c r="I357" s="4">
        <v>89</v>
      </c>
      <c r="J357" s="5">
        <f t="shared" si="34"/>
        <v>71.2</v>
      </c>
      <c r="K357" s="5">
        <f t="shared" si="35"/>
        <v>712</v>
      </c>
      <c r="L357" t="s">
        <v>21</v>
      </c>
    </row>
    <row r="358" spans="1:12" x14ac:dyDescent="0.3">
      <c r="A358" s="2">
        <v>45648</v>
      </c>
      <c r="B358">
        <f t="shared" si="30"/>
        <v>12</v>
      </c>
      <c r="C358" t="str">
        <f t="shared" si="31"/>
        <v>December</v>
      </c>
      <c r="D358" t="str">
        <f t="shared" si="32"/>
        <v>Sunday</v>
      </c>
      <c r="E358" t="s">
        <v>12</v>
      </c>
      <c r="F358">
        <v>40</v>
      </c>
      <c r="G358">
        <v>24</v>
      </c>
      <c r="H358" s="3">
        <f t="shared" si="33"/>
        <v>0.6</v>
      </c>
      <c r="I358" s="4">
        <v>89</v>
      </c>
      <c r="J358" s="5">
        <f t="shared" si="34"/>
        <v>53.4</v>
      </c>
      <c r="K358" s="5">
        <f t="shared" si="35"/>
        <v>2136</v>
      </c>
      <c r="L358" t="s">
        <v>21</v>
      </c>
    </row>
    <row r="359" spans="1:12" x14ac:dyDescent="0.3">
      <c r="A359" s="2">
        <v>45649</v>
      </c>
      <c r="B359">
        <f t="shared" si="30"/>
        <v>12</v>
      </c>
      <c r="C359" t="str">
        <f t="shared" si="31"/>
        <v>December</v>
      </c>
      <c r="D359" t="str">
        <f t="shared" si="32"/>
        <v>Monday</v>
      </c>
      <c r="E359" t="s">
        <v>13</v>
      </c>
      <c r="F359">
        <v>30</v>
      </c>
      <c r="G359">
        <v>21</v>
      </c>
      <c r="H359" s="3">
        <f t="shared" si="33"/>
        <v>0.7</v>
      </c>
      <c r="I359" s="4">
        <v>89</v>
      </c>
      <c r="J359" s="5">
        <f t="shared" si="34"/>
        <v>62.3</v>
      </c>
      <c r="K359" s="5">
        <f t="shared" si="35"/>
        <v>1869</v>
      </c>
      <c r="L359" t="s">
        <v>21</v>
      </c>
    </row>
    <row r="360" spans="1:12" x14ac:dyDescent="0.3">
      <c r="A360" s="2">
        <v>45650</v>
      </c>
      <c r="B360">
        <f t="shared" si="30"/>
        <v>12</v>
      </c>
      <c r="C360" t="str">
        <f t="shared" si="31"/>
        <v>December</v>
      </c>
      <c r="D360" t="str">
        <f t="shared" si="32"/>
        <v>Tuesday</v>
      </c>
      <c r="E360" t="s">
        <v>12</v>
      </c>
      <c r="F360">
        <v>40</v>
      </c>
      <c r="G360">
        <v>35</v>
      </c>
      <c r="H360" s="3">
        <f t="shared" si="33"/>
        <v>0.875</v>
      </c>
      <c r="I360" s="4">
        <v>89</v>
      </c>
      <c r="J360" s="5">
        <f t="shared" si="34"/>
        <v>77.875</v>
      </c>
      <c r="K360" s="5">
        <f t="shared" si="35"/>
        <v>3115</v>
      </c>
      <c r="L360" t="s">
        <v>21</v>
      </c>
    </row>
    <row r="361" spans="1:12" x14ac:dyDescent="0.3">
      <c r="A361" s="2">
        <v>45651</v>
      </c>
      <c r="B361">
        <f t="shared" si="30"/>
        <v>12</v>
      </c>
      <c r="C361" t="str">
        <f t="shared" si="31"/>
        <v>December</v>
      </c>
      <c r="D361" t="str">
        <f t="shared" si="32"/>
        <v>Wednesday</v>
      </c>
      <c r="E361" t="s">
        <v>15</v>
      </c>
      <c r="F361">
        <v>10</v>
      </c>
      <c r="G361">
        <v>6</v>
      </c>
      <c r="H361" s="3">
        <f t="shared" si="33"/>
        <v>0.6</v>
      </c>
      <c r="I361" s="4">
        <v>89</v>
      </c>
      <c r="J361" s="5">
        <f t="shared" si="34"/>
        <v>53.4</v>
      </c>
      <c r="K361" s="5">
        <f t="shared" si="35"/>
        <v>534</v>
      </c>
      <c r="L361" t="s">
        <v>21</v>
      </c>
    </row>
    <row r="362" spans="1:12" x14ac:dyDescent="0.3">
      <c r="A362" s="2">
        <v>45652</v>
      </c>
      <c r="B362">
        <f t="shared" si="30"/>
        <v>12</v>
      </c>
      <c r="C362" t="str">
        <f t="shared" si="31"/>
        <v>December</v>
      </c>
      <c r="D362" t="str">
        <f t="shared" si="32"/>
        <v>Thursday</v>
      </c>
      <c r="E362" t="s">
        <v>12</v>
      </c>
      <c r="F362">
        <v>40</v>
      </c>
      <c r="G362">
        <v>33</v>
      </c>
      <c r="H362" s="3">
        <f t="shared" si="33"/>
        <v>0.82499999999999996</v>
      </c>
      <c r="I362" s="4">
        <v>89</v>
      </c>
      <c r="J362" s="5">
        <f t="shared" si="34"/>
        <v>73.424999999999997</v>
      </c>
      <c r="K362" s="5">
        <f t="shared" si="35"/>
        <v>2937</v>
      </c>
      <c r="L362" t="s">
        <v>21</v>
      </c>
    </row>
    <row r="363" spans="1:12" x14ac:dyDescent="0.3">
      <c r="A363" s="2">
        <v>45653</v>
      </c>
      <c r="B363">
        <f t="shared" si="30"/>
        <v>12</v>
      </c>
      <c r="C363" t="str">
        <f t="shared" si="31"/>
        <v>December</v>
      </c>
      <c r="D363" t="str">
        <f t="shared" si="32"/>
        <v>Friday</v>
      </c>
      <c r="E363" t="s">
        <v>13</v>
      </c>
      <c r="F363">
        <v>30</v>
      </c>
      <c r="G363">
        <v>27</v>
      </c>
      <c r="H363" s="3">
        <f t="shared" si="33"/>
        <v>0.9</v>
      </c>
      <c r="I363" s="4">
        <v>89</v>
      </c>
      <c r="J363" s="5">
        <f t="shared" si="34"/>
        <v>80.100000000000009</v>
      </c>
      <c r="K363" s="5">
        <f t="shared" si="35"/>
        <v>2403</v>
      </c>
      <c r="L363" t="s">
        <v>21</v>
      </c>
    </row>
    <row r="364" spans="1:12" x14ac:dyDescent="0.3">
      <c r="A364" s="2">
        <v>45654</v>
      </c>
      <c r="B364">
        <f t="shared" si="30"/>
        <v>12</v>
      </c>
      <c r="C364" t="str">
        <f t="shared" si="31"/>
        <v>December</v>
      </c>
      <c r="D364" t="str">
        <f t="shared" si="32"/>
        <v>Saturday</v>
      </c>
      <c r="E364" t="s">
        <v>12</v>
      </c>
      <c r="F364">
        <v>40</v>
      </c>
      <c r="G364">
        <v>29</v>
      </c>
      <c r="H364" s="3">
        <f t="shared" si="33"/>
        <v>0.72499999999999998</v>
      </c>
      <c r="I364" s="4">
        <v>89</v>
      </c>
      <c r="J364" s="5">
        <f t="shared" si="34"/>
        <v>64.524999999999991</v>
      </c>
      <c r="K364" s="5">
        <f t="shared" si="35"/>
        <v>2581</v>
      </c>
      <c r="L364" t="s">
        <v>21</v>
      </c>
    </row>
    <row r="365" spans="1:12" x14ac:dyDescent="0.3">
      <c r="A365" s="2">
        <v>45655</v>
      </c>
      <c r="B365">
        <f t="shared" si="30"/>
        <v>12</v>
      </c>
      <c r="C365" t="str">
        <f t="shared" si="31"/>
        <v>December</v>
      </c>
      <c r="D365" t="str">
        <f t="shared" si="32"/>
        <v>Sunday</v>
      </c>
      <c r="E365" t="s">
        <v>15</v>
      </c>
      <c r="F365">
        <v>10</v>
      </c>
      <c r="G365">
        <v>9</v>
      </c>
      <c r="H365" s="3">
        <f t="shared" si="33"/>
        <v>0.9</v>
      </c>
      <c r="I365" s="4">
        <v>89</v>
      </c>
      <c r="J365" s="5">
        <f t="shared" si="34"/>
        <v>80.100000000000009</v>
      </c>
      <c r="K365" s="5">
        <f t="shared" si="35"/>
        <v>801</v>
      </c>
      <c r="L365" t="s">
        <v>21</v>
      </c>
    </row>
    <row r="366" spans="1:12" x14ac:dyDescent="0.3">
      <c r="A366" s="2">
        <v>45656</v>
      </c>
      <c r="B366">
        <f t="shared" si="30"/>
        <v>12</v>
      </c>
      <c r="C366" t="str">
        <f t="shared" si="31"/>
        <v>December</v>
      </c>
      <c r="D366" t="str">
        <f t="shared" si="32"/>
        <v>Monday</v>
      </c>
      <c r="E366" t="s">
        <v>14</v>
      </c>
      <c r="F366">
        <v>15</v>
      </c>
      <c r="G366">
        <v>10</v>
      </c>
      <c r="H366" s="3">
        <f t="shared" si="33"/>
        <v>0.66666666666666663</v>
      </c>
      <c r="I366" s="4">
        <v>89</v>
      </c>
      <c r="J366" s="5">
        <f t="shared" si="34"/>
        <v>59.333333333333329</v>
      </c>
      <c r="K366" s="5">
        <f t="shared" si="35"/>
        <v>890</v>
      </c>
      <c r="L366" t="s">
        <v>21</v>
      </c>
    </row>
    <row r="367" spans="1:12" x14ac:dyDescent="0.3">
      <c r="A367" s="2">
        <v>45657</v>
      </c>
      <c r="B367">
        <f t="shared" si="30"/>
        <v>12</v>
      </c>
      <c r="C367" t="str">
        <f t="shared" si="31"/>
        <v>December</v>
      </c>
      <c r="D367" t="str">
        <f t="shared" si="32"/>
        <v>Tuesday</v>
      </c>
      <c r="E367" t="s">
        <v>16</v>
      </c>
      <c r="F367">
        <v>5</v>
      </c>
      <c r="G367">
        <v>3</v>
      </c>
      <c r="H367" s="3">
        <f t="shared" si="33"/>
        <v>0.6</v>
      </c>
      <c r="I367" s="4">
        <v>89</v>
      </c>
      <c r="J367" s="5">
        <f t="shared" si="34"/>
        <v>53.4</v>
      </c>
      <c r="K367" s="5">
        <f t="shared" si="35"/>
        <v>267</v>
      </c>
      <c r="L367" t="s">
        <v>21</v>
      </c>
    </row>
  </sheetData>
  <dataValidations count="2">
    <dataValidation type="list" allowBlank="1" showInputMessage="1" showErrorMessage="1" sqref="E2:E367" xr:uid="{925E52CE-75A6-4F6E-9F2E-8A814B8CF839}">
      <formula1>"Standard, Deluxe, Suite, Executive, Penthouse"</formula1>
    </dataValidation>
    <dataValidation type="list" allowBlank="1" showInputMessage="1" showErrorMessage="1" sqref="L2:L80" xr:uid="{01975664-77DD-4251-B90D-4933B2FA306F}">
      <formula1>"Direct, OTA, Corporate, Travel,Agent, Walk-in"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4F69-3F6C-4CBB-BACE-F50F4D05AF26}">
  <dimension ref="A1:K19"/>
  <sheetViews>
    <sheetView workbookViewId="0">
      <selection activeCell="A3" sqref="A3"/>
    </sheetView>
  </sheetViews>
  <sheetFormatPr defaultRowHeight="14.4" x14ac:dyDescent="0.3"/>
  <cols>
    <col min="2" max="2" width="12.33203125" customWidth="1"/>
    <col min="3" max="3" width="14.88671875" customWidth="1"/>
    <col min="4" max="4" width="16" customWidth="1"/>
    <col min="5" max="5" width="15.77734375" customWidth="1"/>
    <col min="6" max="6" width="12" customWidth="1"/>
    <col min="7" max="7" width="14.109375" customWidth="1"/>
    <col min="8" max="8" width="17" customWidth="1"/>
    <col min="9" max="9" width="17.88671875" customWidth="1"/>
    <col min="10" max="10" width="18.109375" customWidth="1"/>
    <col min="11" max="11" width="14.5546875" customWidth="1"/>
  </cols>
  <sheetData>
    <row r="1" spans="1:11" ht="30" customHeight="1" x14ac:dyDescent="0.35">
      <c r="A1" s="43" t="s">
        <v>22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9.95" customHeight="1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x14ac:dyDescent="0.3">
      <c r="A3" s="6" t="s">
        <v>1</v>
      </c>
      <c r="B3" s="6" t="s">
        <v>2</v>
      </c>
      <c r="C3" s="10" t="s">
        <v>10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</row>
    <row r="4" spans="1:11" x14ac:dyDescent="0.3">
      <c r="A4" s="12">
        <v>1</v>
      </c>
      <c r="B4" s="11" t="str">
        <f>TEXT(DATE(2024,A4,1),"MMMM")</f>
        <v>January</v>
      </c>
      <c r="C4" s="13">
        <f>SUMIF('Raw Data'!$B:$B,A4,'Raw Data'!$K:$K)</f>
        <v>53489</v>
      </c>
      <c r="D4" s="12">
        <f>SUMIF('Raw Data'!$B:$B,A4,'Raw Data'!$G:$G)</f>
        <v>601</v>
      </c>
      <c r="E4" s="14">
        <f>AVERAGEIF('Raw Data'!$B:$B,A4,'Raw Data'!$H:$H)</f>
        <v>0.77876344086021509</v>
      </c>
      <c r="F4" s="15">
        <f>AVERAGEIF('Raw Data'!$B:$B,A4,'Raw Data'!$I:$I)</f>
        <v>89</v>
      </c>
      <c r="G4" s="15">
        <f>AVERAGEIF('Raw Data'!$B:$B,A4,'Raw Data'!$J:$J)</f>
        <v>69.309946236559142</v>
      </c>
      <c r="H4" s="12">
        <f>SUMIF('Raw Data'!$B:$B,A4,'Raw Data'!$F:$F)</f>
        <v>780</v>
      </c>
      <c r="I4" s="15">
        <f>_xlfn.MAXIFS('Raw Data'!$K:$K,'Raw Data'!$B:$B,A4)</f>
        <v>3382</v>
      </c>
      <c r="J4" s="15">
        <f>_xlfn.MINIFS('Raw Data'!$K:$K,'Raw Data'!$B:$B,A4)</f>
        <v>356</v>
      </c>
      <c r="K4" s="12" t="s">
        <v>32</v>
      </c>
    </row>
    <row r="5" spans="1:11" x14ac:dyDescent="0.3">
      <c r="A5" s="12">
        <v>2</v>
      </c>
      <c r="B5" s="11" t="str">
        <f t="shared" ref="B5:B15" si="0">TEXT(DATE(2024,A5,1),"MMMM")</f>
        <v>February</v>
      </c>
      <c r="C5" s="13">
        <f>SUMIF('Raw Data'!$B:$B,A5,'Raw Data'!$K:$K)</f>
        <v>49128</v>
      </c>
      <c r="D5" s="12">
        <f>SUMIF('Raw Data'!$B:$B,A5,'Raw Data'!$G:$G)</f>
        <v>552</v>
      </c>
      <c r="E5" s="14">
        <f>AVERAGEIF('Raw Data'!$B:$B,A5,'Raw Data'!$H:$H)</f>
        <v>0.79166666666666674</v>
      </c>
      <c r="F5" s="15">
        <f>AVERAGEIF('Raw Data'!$B:$B,A5,'Raw Data'!$I:$I)</f>
        <v>89</v>
      </c>
      <c r="G5" s="15">
        <f>AVERAGEIF('Raw Data'!$B:$B,A5,'Raw Data'!$J:$J)</f>
        <v>70.458333333333343</v>
      </c>
      <c r="H5" s="12">
        <f>SUMIF('Raw Data'!$B:$B,A5,'Raw Data'!$F:$F)</f>
        <v>710</v>
      </c>
      <c r="I5" s="15">
        <f>_xlfn.MAXIFS('Raw Data'!$K:$K,'Raw Data'!$B:$B,A5)</f>
        <v>3115</v>
      </c>
      <c r="J5" s="15">
        <f>_xlfn.MINIFS('Raw Data'!$K:$K,'Raw Data'!$B:$B,A5)</f>
        <v>267</v>
      </c>
      <c r="K5" s="16">
        <f>IFERROR((C5-C4)/C4,"")</f>
        <v>-8.153078202995008E-2</v>
      </c>
    </row>
    <row r="6" spans="1:11" x14ac:dyDescent="0.3">
      <c r="A6" s="12">
        <v>3</v>
      </c>
      <c r="B6" s="11" t="str">
        <f t="shared" si="0"/>
        <v>March</v>
      </c>
      <c r="C6" s="13">
        <f>SUMIF('Raw Data'!$B:$B,A6,'Raw Data'!$K:$K)</f>
        <v>50819</v>
      </c>
      <c r="D6" s="12">
        <f>SUMIF('Raw Data'!$B:$B,A6,'Raw Data'!$G:$G)</f>
        <v>571</v>
      </c>
      <c r="E6" s="14">
        <f>AVERAGEIF('Raw Data'!$B:$B,A6,'Raw Data'!$H:$H)</f>
        <v>0.75833333333333341</v>
      </c>
      <c r="F6" s="15">
        <f>AVERAGEIF('Raw Data'!$B:$B,A6,'Raw Data'!$I:$I)</f>
        <v>89</v>
      </c>
      <c r="G6" s="15">
        <f>AVERAGEIF('Raw Data'!$B:$B,A6,'Raw Data'!$J:$J)</f>
        <v>67.491666666666674</v>
      </c>
      <c r="H6" s="12">
        <f>SUMIF('Raw Data'!$B:$B,A6,'Raw Data'!$F:$F)</f>
        <v>745</v>
      </c>
      <c r="I6" s="15">
        <f>_xlfn.MAXIFS('Raw Data'!$K:$K,'Raw Data'!$B:$B,A6)</f>
        <v>3382</v>
      </c>
      <c r="J6" s="15">
        <f>_xlfn.MINIFS('Raw Data'!$K:$K,'Raw Data'!$B:$B,A6)</f>
        <v>267</v>
      </c>
      <c r="K6" s="16">
        <f t="shared" ref="K6:K15" si="1">IFERROR((C6-C5)/C5,"")</f>
        <v>3.4420289855072464E-2</v>
      </c>
    </row>
    <row r="7" spans="1:11" x14ac:dyDescent="0.3">
      <c r="A7" s="12">
        <v>4</v>
      </c>
      <c r="B7" s="11" t="str">
        <f t="shared" si="0"/>
        <v>April</v>
      </c>
      <c r="C7" s="13">
        <f>SUMIF('Raw Data'!$B:$B,A7,'Raw Data'!$K:$K)</f>
        <v>62389</v>
      </c>
      <c r="D7" s="12">
        <f>SUMIF('Raw Data'!$B:$B,A7,'Raw Data'!$G:$G)</f>
        <v>701</v>
      </c>
      <c r="E7" s="14">
        <f>AVERAGEIF('Raw Data'!$B:$B,A7,'Raw Data'!$H:$H)</f>
        <v>0.78972222222222221</v>
      </c>
      <c r="F7" s="15">
        <f>AVERAGEIF('Raw Data'!$B:$B,A7,'Raw Data'!$I:$I)</f>
        <v>89</v>
      </c>
      <c r="G7" s="15">
        <f>AVERAGEIF('Raw Data'!$B:$B,A7,'Raw Data'!$J:$J)</f>
        <v>70.285277777777793</v>
      </c>
      <c r="H7" s="12">
        <f>SUMIF('Raw Data'!$B:$B,A7,'Raw Data'!$F:$F)</f>
        <v>910</v>
      </c>
      <c r="I7" s="15">
        <f>_xlfn.MAXIFS('Raw Data'!$K:$K,'Raw Data'!$B:$B,A7)</f>
        <v>3293</v>
      </c>
      <c r="J7" s="15">
        <f>_xlfn.MINIFS('Raw Data'!$K:$K,'Raw Data'!$B:$B,A7)</f>
        <v>356</v>
      </c>
      <c r="K7" s="16">
        <f t="shared" si="1"/>
        <v>0.22767075306479859</v>
      </c>
    </row>
    <row r="8" spans="1:11" x14ac:dyDescent="0.3">
      <c r="A8" s="12">
        <v>5</v>
      </c>
      <c r="B8" s="11" t="str">
        <f t="shared" si="0"/>
        <v>May</v>
      </c>
      <c r="C8" s="13">
        <f>SUMIF('Raw Data'!$B:$B,A8,'Raw Data'!$K:$K)</f>
        <v>47793</v>
      </c>
      <c r="D8" s="12">
        <f>SUMIF('Raw Data'!$B:$B,A8,'Raw Data'!$G:$G)</f>
        <v>537</v>
      </c>
      <c r="E8" s="14">
        <f>AVERAGEIF('Raw Data'!$B:$B,A8,'Raw Data'!$H:$H)</f>
        <v>0.78736559139784934</v>
      </c>
      <c r="F8" s="15">
        <f>AVERAGEIF('Raw Data'!$B:$B,A8,'Raw Data'!$I:$I)</f>
        <v>89</v>
      </c>
      <c r="G8" s="15">
        <f>AVERAGEIF('Raw Data'!$B:$B,A8,'Raw Data'!$J:$J)</f>
        <v>70.075537634408605</v>
      </c>
      <c r="H8" s="12">
        <f>SUMIF('Raw Data'!$B:$B,A8,'Raw Data'!$F:$F)</f>
        <v>685</v>
      </c>
      <c r="I8" s="15">
        <f>_xlfn.MAXIFS('Raw Data'!$K:$K,'Raw Data'!$B:$B,A8)</f>
        <v>3382</v>
      </c>
      <c r="J8" s="15">
        <f>_xlfn.MINIFS('Raw Data'!$K:$K,'Raw Data'!$B:$B,A8)</f>
        <v>267</v>
      </c>
      <c r="K8" s="16">
        <f t="shared" si="1"/>
        <v>-0.23395149786019973</v>
      </c>
    </row>
    <row r="9" spans="1:11" x14ac:dyDescent="0.3">
      <c r="A9" s="12">
        <v>6</v>
      </c>
      <c r="B9" s="11" t="str">
        <f t="shared" si="0"/>
        <v>June</v>
      </c>
      <c r="C9" s="13">
        <f>SUMIF('Raw Data'!$B:$B,A9,'Raw Data'!$K:$K)</f>
        <v>56070</v>
      </c>
      <c r="D9" s="12">
        <f>SUMIF('Raw Data'!$B:$B,A9,'Raw Data'!$G:$G)</f>
        <v>630</v>
      </c>
      <c r="E9" s="14">
        <f>AVERAGEIF('Raw Data'!$B:$B,A9,'Raw Data'!$H:$H)</f>
        <v>0.7527777777777781</v>
      </c>
      <c r="F9" s="15">
        <f>AVERAGEIF('Raw Data'!$B:$B,A9,'Raw Data'!$I:$I)</f>
        <v>89</v>
      </c>
      <c r="G9" s="15">
        <f>AVERAGEIF('Raw Data'!$B:$B,A9,'Raw Data'!$J:$J)</f>
        <v>66.997222222222248</v>
      </c>
      <c r="H9" s="12">
        <f>SUMIF('Raw Data'!$B:$B,A9,'Raw Data'!$F:$F)</f>
        <v>825</v>
      </c>
      <c r="I9" s="15">
        <f>_xlfn.MAXIFS('Raw Data'!$K:$K,'Raw Data'!$B:$B,A9)</f>
        <v>3293</v>
      </c>
      <c r="J9" s="15">
        <f>_xlfn.MINIFS('Raw Data'!$K:$K,'Raw Data'!$B:$B,A9)</f>
        <v>712</v>
      </c>
      <c r="K9" s="16">
        <f t="shared" si="1"/>
        <v>0.17318435754189945</v>
      </c>
    </row>
    <row r="10" spans="1:11" x14ac:dyDescent="0.3">
      <c r="A10" s="12">
        <v>7</v>
      </c>
      <c r="B10" s="11" t="str">
        <f t="shared" si="0"/>
        <v>July</v>
      </c>
      <c r="C10" s="13">
        <f>SUMIF('Raw Data'!$B:$B,A10,'Raw Data'!$K:$K)</f>
        <v>49128</v>
      </c>
      <c r="D10" s="12">
        <f>SUMIF('Raw Data'!$B:$B,A10,'Raw Data'!$G:$G)</f>
        <v>552</v>
      </c>
      <c r="E10" s="14">
        <f>AVERAGEIF('Raw Data'!$B:$B,A10,'Raw Data'!$H:$H)</f>
        <v>0.80430107526881744</v>
      </c>
      <c r="F10" s="15">
        <f>AVERAGEIF('Raw Data'!$B:$B,A10,'Raw Data'!$I:$I)</f>
        <v>89</v>
      </c>
      <c r="G10" s="15">
        <f>AVERAGEIF('Raw Data'!$B:$B,A10,'Raw Data'!$J:$J)</f>
        <v>71.582795698924755</v>
      </c>
      <c r="H10" s="12">
        <f>SUMIF('Raw Data'!$B:$B,A10,'Raw Data'!$F:$F)</f>
        <v>685</v>
      </c>
      <c r="I10" s="15">
        <f>_xlfn.MAXIFS('Raw Data'!$K:$K,'Raw Data'!$B:$B,A10)</f>
        <v>3293</v>
      </c>
      <c r="J10" s="15">
        <f>_xlfn.MINIFS('Raw Data'!$K:$K,'Raw Data'!$B:$B,A10)</f>
        <v>534</v>
      </c>
      <c r="K10" s="16">
        <f t="shared" si="1"/>
        <v>-0.12380952380952381</v>
      </c>
    </row>
    <row r="11" spans="1:11" x14ac:dyDescent="0.3">
      <c r="A11" s="12">
        <v>8</v>
      </c>
      <c r="B11" s="11" t="str">
        <f t="shared" si="0"/>
        <v>August</v>
      </c>
      <c r="C11" s="13">
        <f>SUMIF('Raw Data'!$B:$B,A11,'Raw Data'!$K:$K)</f>
        <v>66572</v>
      </c>
      <c r="D11" s="12">
        <f>SUMIF('Raw Data'!$B:$B,A11,'Raw Data'!$G:$G)</f>
        <v>748</v>
      </c>
      <c r="E11" s="14">
        <f>AVERAGEIF('Raw Data'!$B:$B,A11,'Raw Data'!$H:$H)</f>
        <v>0.79811827956989245</v>
      </c>
      <c r="F11" s="15">
        <f>AVERAGEIF('Raw Data'!$B:$B,A11,'Raw Data'!$I:$I)</f>
        <v>89</v>
      </c>
      <c r="G11" s="15">
        <f>AVERAGEIF('Raw Data'!$B:$B,A11,'Raw Data'!$J:$J)</f>
        <v>71.032526881720429</v>
      </c>
      <c r="H11" s="12">
        <f>SUMIF('Raw Data'!$B:$B,A11,'Raw Data'!$F:$F)</f>
        <v>935</v>
      </c>
      <c r="I11" s="15">
        <f>_xlfn.MAXIFS('Raw Data'!$K:$K,'Raw Data'!$B:$B,A11)</f>
        <v>3382</v>
      </c>
      <c r="J11" s="15">
        <f>_xlfn.MINIFS('Raw Data'!$K:$K,'Raw Data'!$B:$B,A11)</f>
        <v>267</v>
      </c>
      <c r="K11" s="16">
        <f t="shared" si="1"/>
        <v>0.35507246376811596</v>
      </c>
    </row>
    <row r="12" spans="1:11" x14ac:dyDescent="0.3">
      <c r="A12" s="12">
        <v>9</v>
      </c>
      <c r="B12" s="11" t="str">
        <f t="shared" si="0"/>
        <v>September</v>
      </c>
      <c r="C12" s="13">
        <f>SUMIF('Raw Data'!$B:$B,A12,'Raw Data'!$K:$K)</f>
        <v>38092</v>
      </c>
      <c r="D12" s="12">
        <f>SUMIF('Raw Data'!$B:$B,A12,'Raw Data'!$G:$G)</f>
        <v>428</v>
      </c>
      <c r="E12" s="14">
        <f>AVERAGEIF('Raw Data'!$B:$B,A12,'Raw Data'!$H:$H)</f>
        <v>0.75916666666666677</v>
      </c>
      <c r="F12" s="15">
        <f>AVERAGEIF('Raw Data'!$B:$B,A12,'Raw Data'!$I:$I)</f>
        <v>89</v>
      </c>
      <c r="G12" s="15">
        <f>AVERAGEIF('Raw Data'!$B:$B,A12,'Raw Data'!$J:$J)</f>
        <v>67.565833333333345</v>
      </c>
      <c r="H12" s="12">
        <f>SUMIF('Raw Data'!$B:$B,A12,'Raw Data'!$F:$F)</f>
        <v>570</v>
      </c>
      <c r="I12" s="15">
        <f>_xlfn.MAXIFS('Raw Data'!$K:$K,'Raw Data'!$B:$B,A12)</f>
        <v>3382</v>
      </c>
      <c r="J12" s="15">
        <f>_xlfn.MINIFS('Raw Data'!$K:$K,'Raw Data'!$B:$B,A12)</f>
        <v>267</v>
      </c>
      <c r="K12" s="16">
        <f t="shared" si="1"/>
        <v>-0.42780748663101603</v>
      </c>
    </row>
    <row r="13" spans="1:11" x14ac:dyDescent="0.3">
      <c r="A13" s="12">
        <v>10</v>
      </c>
      <c r="B13" s="11" t="str">
        <f t="shared" si="0"/>
        <v>October</v>
      </c>
      <c r="C13" s="13">
        <f>SUMIF('Raw Data'!$B:$B,A13,'Raw Data'!$K:$K)</f>
        <v>54557</v>
      </c>
      <c r="D13" s="12">
        <f>SUMIF('Raw Data'!$B:$B,A13,'Raw Data'!$G:$G)</f>
        <v>613</v>
      </c>
      <c r="E13" s="14">
        <f>AVERAGEIF('Raw Data'!$B:$B,A13,'Raw Data'!$H:$H)</f>
        <v>0.80698924731182831</v>
      </c>
      <c r="F13" s="15">
        <f>AVERAGEIF('Raw Data'!$B:$B,A13,'Raw Data'!$I:$I)</f>
        <v>89</v>
      </c>
      <c r="G13" s="15">
        <f>AVERAGEIF('Raw Data'!$B:$B,A13,'Raw Data'!$J:$J)</f>
        <v>71.822043010752694</v>
      </c>
      <c r="H13" s="12">
        <f>SUMIF('Raw Data'!$B:$B,A13,'Raw Data'!$F:$F)</f>
        <v>755</v>
      </c>
      <c r="I13" s="15">
        <f>_xlfn.MAXIFS('Raw Data'!$K:$K,'Raw Data'!$B:$B,A13)</f>
        <v>3115</v>
      </c>
      <c r="J13" s="15">
        <f>_xlfn.MINIFS('Raw Data'!$K:$K,'Raw Data'!$B:$B,A13)</f>
        <v>267</v>
      </c>
      <c r="K13" s="16">
        <f t="shared" si="1"/>
        <v>0.43224299065420563</v>
      </c>
    </row>
    <row r="14" spans="1:11" x14ac:dyDescent="0.3">
      <c r="A14" s="12">
        <v>11</v>
      </c>
      <c r="B14" s="11" t="str">
        <f t="shared" si="0"/>
        <v>November</v>
      </c>
      <c r="C14" s="13">
        <f>SUMIF('Raw Data'!$B:$B,A14,'Raw Data'!$K:$K)</f>
        <v>43610</v>
      </c>
      <c r="D14" s="12">
        <f>SUMIF('Raw Data'!$B:$B,A14,'Raw Data'!$G:$G)</f>
        <v>490</v>
      </c>
      <c r="E14" s="14">
        <f>AVERAGEIF('Raw Data'!$B:$B,A14,'Raw Data'!$H:$H)</f>
        <v>0.79916666666666658</v>
      </c>
      <c r="F14" s="15">
        <f>AVERAGEIF('Raw Data'!$B:$B,A14,'Raw Data'!$I:$I)</f>
        <v>89</v>
      </c>
      <c r="G14" s="15">
        <f>AVERAGEIF('Raw Data'!$B:$B,A14,'Raw Data'!$J:$J)</f>
        <v>71.125833333333333</v>
      </c>
      <c r="H14" s="12">
        <f>SUMIF('Raw Data'!$B:$B,A14,'Raw Data'!$F:$F)</f>
        <v>625</v>
      </c>
      <c r="I14" s="15">
        <f>_xlfn.MAXIFS('Raw Data'!$K:$K,'Raw Data'!$B:$B,A14)</f>
        <v>3382</v>
      </c>
      <c r="J14" s="15">
        <f>_xlfn.MINIFS('Raw Data'!$K:$K,'Raw Data'!$B:$B,A14)</f>
        <v>267</v>
      </c>
      <c r="K14" s="16">
        <f t="shared" si="1"/>
        <v>-0.20065252854812399</v>
      </c>
    </row>
    <row r="15" spans="1:11" x14ac:dyDescent="0.3">
      <c r="A15" s="12">
        <v>12</v>
      </c>
      <c r="B15" s="11" t="str">
        <f t="shared" si="0"/>
        <v>December</v>
      </c>
      <c r="C15" s="13">
        <f>SUMIF('Raw Data'!$B:$B,A15,'Raw Data'!$K:$K)</f>
        <v>58473</v>
      </c>
      <c r="D15" s="12">
        <f>SUMIF('Raw Data'!$B:$B,A15,'Raw Data'!$G:$G)</f>
        <v>657</v>
      </c>
      <c r="E15" s="14">
        <f>AVERAGEIF('Raw Data'!$B:$B,A15,'Raw Data'!$H:$H)</f>
        <v>0.79354838709677433</v>
      </c>
      <c r="F15" s="15">
        <f>AVERAGEIF('Raw Data'!$B:$B,A15,'Raw Data'!$I:$I)</f>
        <v>89</v>
      </c>
      <c r="G15" s="15">
        <f>AVERAGEIF('Raw Data'!$B:$B,A15,'Raw Data'!$J:$J)</f>
        <v>70.625806451612917</v>
      </c>
      <c r="H15" s="12">
        <f>SUMIF('Raw Data'!$B:$B,A15,'Raw Data'!$F:$F)</f>
        <v>820</v>
      </c>
      <c r="I15" s="15">
        <f>_xlfn.MAXIFS('Raw Data'!$K:$K,'Raw Data'!$B:$B,A15)</f>
        <v>3382</v>
      </c>
      <c r="J15" s="15">
        <f>_xlfn.MINIFS('Raw Data'!$K:$K,'Raw Data'!$B:$B,A15)</f>
        <v>267</v>
      </c>
      <c r="K15" s="16">
        <f t="shared" si="1"/>
        <v>0.34081632653061222</v>
      </c>
    </row>
    <row r="16" spans="1:11" x14ac:dyDescent="0.3">
      <c r="A16" s="1" t="s">
        <v>33</v>
      </c>
      <c r="B16" s="8"/>
      <c r="C16" s="8">
        <f>SUM(C4:C15)</f>
        <v>630120</v>
      </c>
      <c r="D16" s="8">
        <f>SUM(D4:D15)</f>
        <v>7080</v>
      </c>
      <c r="E16" s="9">
        <f>AVERAGE(E4:E15)</f>
        <v>0.78499327956989262</v>
      </c>
      <c r="F16" s="7">
        <f>AVERAGE(F4:F15)</f>
        <v>89</v>
      </c>
      <c r="G16" s="7">
        <f>AVERAGE(G4:G15)</f>
        <v>69.86440188172044</v>
      </c>
    </row>
    <row r="19" spans="3:3" x14ac:dyDescent="0.3">
      <c r="C19" s="11"/>
    </row>
  </sheetData>
  <mergeCells count="2">
    <mergeCell ref="A1:K1"/>
    <mergeCell ref="A2:K2"/>
  </mergeCells>
  <phoneticPr fontId="4" type="noConversion"/>
  <conditionalFormatting sqref="C4:C15">
    <cfRule type="top10" dxfId="1" priority="1" rank="1"/>
  </conditionalFormatting>
  <conditionalFormatting sqref="K5:K15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7E8E-5B67-401B-94EB-38E40C74DD23}">
  <dimension ref="A1:N28"/>
  <sheetViews>
    <sheetView tabSelected="1" workbookViewId="0">
      <selection activeCell="C14" sqref="C14"/>
    </sheetView>
  </sheetViews>
  <sheetFormatPr defaultRowHeight="14.4" x14ac:dyDescent="0.3"/>
  <cols>
    <col min="1" max="14" width="14.77734375" customWidth="1"/>
  </cols>
  <sheetData>
    <row r="1" spans="1:14" ht="25.05" customHeight="1" x14ac:dyDescent="0.35">
      <c r="A1" s="45" t="s">
        <v>39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x14ac:dyDescent="0.3">
      <c r="B2" s="18"/>
    </row>
    <row r="3" spans="1:14" x14ac:dyDescent="0.3">
      <c r="A3" s="31" t="s">
        <v>40</v>
      </c>
      <c r="B3" s="32" t="s">
        <v>41</v>
      </c>
      <c r="C3" s="30" t="s">
        <v>42</v>
      </c>
      <c r="D3" s="30" t="s">
        <v>43</v>
      </c>
      <c r="E3" s="30" t="s">
        <v>44</v>
      </c>
      <c r="F3" s="30" t="s">
        <v>38</v>
      </c>
      <c r="G3" s="30" t="s">
        <v>45</v>
      </c>
      <c r="H3" s="30" t="s">
        <v>46</v>
      </c>
      <c r="I3" s="30" t="s">
        <v>47</v>
      </c>
      <c r="J3" s="30" t="s">
        <v>48</v>
      </c>
      <c r="K3" s="30" t="s">
        <v>49</v>
      </c>
      <c r="L3" s="30" t="s">
        <v>50</v>
      </c>
      <c r="M3" s="30" t="s">
        <v>51</v>
      </c>
      <c r="N3" s="31" t="s">
        <v>52</v>
      </c>
    </row>
    <row r="4" spans="1:14" x14ac:dyDescent="0.3">
      <c r="A4" s="35" t="s">
        <v>53</v>
      </c>
      <c r="B4" s="37">
        <f>AVERAGEIFS('Raw Data'!H:H,'Raw Data'!B:B,1,'Raw Data'!D:D,"Monday")</f>
        <v>0.81166666666666676</v>
      </c>
      <c r="C4" s="46">
        <f>AVERAGEIFS('Raw Data'!H:H,'Raw Data'!B:B,2,'Raw Data'!D:D,"Monday")</f>
        <v>0.86875000000000002</v>
      </c>
      <c r="D4" s="46">
        <f>AVERAGEIFS('Raw Data'!H:H,'Raw Data'!B:B,3,'Raw Data'!D:D,"Monday")</f>
        <v>0.72083333333333333</v>
      </c>
      <c r="E4" s="46">
        <f>AVERAGEIFS('Raw Data'!H:H,'Raw Data'!B:B,4,'Raw Data'!D:D,"Monday")</f>
        <v>0.77666666666666673</v>
      </c>
      <c r="F4" s="46">
        <f>AVERAGEIFS('Raw Data'!H:H,'Raw Data'!B:B,5,'Raw Data'!D:D,"Monday")</f>
        <v>0.73541666666666661</v>
      </c>
      <c r="G4" s="46">
        <f>AVERAGEIFS('Raw Data'!H:H,'Raw Data'!B:B,6,'Raw Data'!D:D,"Monday")</f>
        <v>0.78541666666666665</v>
      </c>
      <c r="H4" s="46">
        <f>AVERAGEIFS('Raw Data'!H:H,'Raw Data'!B:B,7,'Raw Data'!D:D,"Monday")</f>
        <v>0.84833333333333327</v>
      </c>
      <c r="I4" s="46">
        <f>AVERAGEIFS('Raw Data'!H:H,'Raw Data'!B:B,8,'Raw Data'!D:D,"Monday")</f>
        <v>0.85416666666666663</v>
      </c>
      <c r="J4" s="46">
        <f>AVERAGEIFS('Raw Data'!H:H,'Raw Data'!B:B,9,'Raw Data'!D:D,"Monday")</f>
        <v>0.78499999999999992</v>
      </c>
      <c r="K4" s="46">
        <f>AVERAGEIFS('Raw Data'!H:H,'Raw Data'!B:B,10,'Raw Data'!D:D,"Monday")</f>
        <v>0.81874999999999998</v>
      </c>
      <c r="L4" s="46">
        <f>AVERAGEIFS('Raw Data'!H:H,'Raw Data'!B:B,11,'Raw Data'!D:D,"Monday")</f>
        <v>0.78125</v>
      </c>
      <c r="M4" s="46">
        <f>AVERAGEIFS('Raw Data'!H:H,'Raw Data'!B:B,12,'Raw Data'!D:D,"Monday")</f>
        <v>0.71333333333333337</v>
      </c>
      <c r="N4" s="38">
        <f t="shared" ref="N4:N10" si="0">AVERAGE(B4:M4)</f>
        <v>0.79163194444444451</v>
      </c>
    </row>
    <row r="5" spans="1:14" x14ac:dyDescent="0.3">
      <c r="A5" s="35" t="s">
        <v>54</v>
      </c>
      <c r="B5" s="39">
        <f>AVERAGEIFS('Raw Data'!H:H,'Raw Data'!B:B,1,'Raw Data'!D:D,"Tuesday")</f>
        <v>0.79333333333333322</v>
      </c>
      <c r="C5" s="46">
        <f>AVERAGEIFS('Raw Data'!H:H,'Raw Data'!B:B,2,'Raw Data'!D:D,"Tuesday")</f>
        <v>0.70833333333333337</v>
      </c>
      <c r="D5" s="46">
        <f>AVERAGEIFS('Raw Data'!H:H,'Raw Data'!B:B,3,'Raw Data'!D:D,"Tuesday")</f>
        <v>0.69375000000000009</v>
      </c>
      <c r="E5" s="46">
        <f>AVERAGEIFS('Raw Data'!H:H,'Raw Data'!B:B,4,'Raw Data'!D:D,"Tuesday")</f>
        <v>0.76</v>
      </c>
      <c r="F5" s="46">
        <f>AVERAGEIFS('Raw Data'!H:H,'Raw Data'!B:B,5,'Raw Data'!D:D,"Tuesday")</f>
        <v>0.73750000000000004</v>
      </c>
      <c r="G5" s="46">
        <f>AVERAGEIFS('Raw Data'!H:H,'Raw Data'!B:B,6,'Raw Data'!D:D,"Tuesday")</f>
        <v>0.77500000000000002</v>
      </c>
      <c r="H5" s="46">
        <f>AVERAGEIFS('Raw Data'!H:H,'Raw Data'!B:B,7,'Raw Data'!D:D,"Tuesday")</f>
        <v>0.8600000000000001</v>
      </c>
      <c r="I5" s="46">
        <f>AVERAGEIFS('Raw Data'!H:H,'Raw Data'!B:B,8,'Raw Data'!D:D,"Tuesday")</f>
        <v>0.72083333333333333</v>
      </c>
      <c r="J5" s="46">
        <f>AVERAGEIFS('Raw Data'!H:H,'Raw Data'!B:B,9,'Raw Data'!D:D,"Tuesday")</f>
        <v>0.8125</v>
      </c>
      <c r="K5" s="46">
        <f>AVERAGEIFS('Raw Data'!H:H,'Raw Data'!B:B,10,'Raw Data'!D:D,"Tuesday")</f>
        <v>0.81666666666666665</v>
      </c>
      <c r="L5" s="46">
        <f>AVERAGEIFS('Raw Data'!H:H,'Raw Data'!B:B,12,'Raw Data'!D:D,"Tuesday")</f>
        <v>0.79500000000000004</v>
      </c>
      <c r="M5" s="46">
        <f>AVERAGEIFS('Raw Data'!H:H,'Raw Data'!B:B,12,'Raw Data'!D:D,"Tuesday")</f>
        <v>0.79500000000000004</v>
      </c>
      <c r="N5" s="38">
        <f t="shared" si="0"/>
        <v>0.77232638888888883</v>
      </c>
    </row>
    <row r="6" spans="1:14" x14ac:dyDescent="0.3">
      <c r="A6" s="35" t="s">
        <v>55</v>
      </c>
      <c r="B6" s="37">
        <f>AVERAGEIFS('Raw Data'!H:H,'Raw Data'!B:B,1,'Raw Data'!D:D,"Wednesday")</f>
        <v>0.81500000000000006</v>
      </c>
      <c r="C6" s="46">
        <f>AVERAGEIFS('Raw Data'!H:H,'Raw Data'!B:B,2,'Raw Data'!D:D,"Wednesday")</f>
        <v>0.82499999999999996</v>
      </c>
      <c r="D6" s="46">
        <f>AVERAGEIFS('Raw Data'!H:H,'Raw Data'!B:B,3,'Raw Data'!D:D,"Wednesday")</f>
        <v>0.71041666666666659</v>
      </c>
      <c r="E6" s="46">
        <f>AVERAGEIFS('Raw Data'!H:H,'Raw Data'!B:B,4,'Raw Data'!D:D,"Wednesday")</f>
        <v>0.89375000000000004</v>
      </c>
      <c r="F6" s="46">
        <f>AVERAGEIFS('Raw Data'!H:H,'Raw Data'!B:B,5,'Raw Data'!D:D,"Wednesday")</f>
        <v>0.77666666666666673</v>
      </c>
      <c r="G6" s="46">
        <f>AVERAGEIFS('Raw Data'!H:H,'Raw Data'!B:B,6,'Raw Data'!D:D,"Wednesday")</f>
        <v>0.7583333333333333</v>
      </c>
      <c r="H6" s="46">
        <f>AVERAGEIFS('Raw Data'!H:H,'Raw Data'!B:B,7,'Raw Data'!D:D,"Wednesday")</f>
        <v>0.76833333333333331</v>
      </c>
      <c r="I6" s="46">
        <f>AVERAGEIFS('Raw Data'!H:H,'Raw Data'!B:B,8,'Raw Data'!D:D,"Wednesday")</f>
        <v>0.75624999999999998</v>
      </c>
      <c r="J6" s="46">
        <f>AVERAGEIFS('Raw Data'!H:H,'Raw Data'!B:B,9,'Raw Data'!D:D,"Wednesday")</f>
        <v>0.70000000000000007</v>
      </c>
      <c r="K6" s="46">
        <f>AVERAGEIFS('Raw Data'!H:H,'Raw Data'!B:B,10,'Raw Data'!D:D,"Wednesday")</f>
        <v>0.78</v>
      </c>
      <c r="L6" s="46">
        <f>AVERAGEIFS('Raw Data'!H:H,'Raw Data'!B:B,11,'Raw Data'!D:D,"Wednesday")</f>
        <v>0.83749999999999991</v>
      </c>
      <c r="M6" s="46">
        <f>AVERAGEIFS('Raw Data'!H:H,'Raw Data'!B:B,12,'Raw Data'!D:D,"Wednesday")</f>
        <v>0.69583333333333341</v>
      </c>
      <c r="N6" s="38">
        <f t="shared" si="0"/>
        <v>0.77642361111111102</v>
      </c>
    </row>
    <row r="7" spans="1:14" x14ac:dyDescent="0.3">
      <c r="A7" s="35" t="s">
        <v>56</v>
      </c>
      <c r="B7" s="37">
        <f>AVERAGEIFS('Raw Data'!H:H,'Raw Data'!B:B,1,'Raw Data'!D:D,"Thursday")</f>
        <v>0.68125000000000002</v>
      </c>
      <c r="C7" s="46">
        <f>AVERAGEIFS('Raw Data'!H:H,'Raw Data'!B:B,2,'Raw Data'!D:D,"Thursday")</f>
        <v>0.81666666666666665</v>
      </c>
      <c r="D7" s="46">
        <f>AVERAGEIFS('Raw Data'!H:H,'Raw Data'!B:B,3,'Raw Data'!D:D,"Thursday")</f>
        <v>0.75208333333333333</v>
      </c>
      <c r="E7" s="46">
        <f>AVERAGEIFS('Raw Data'!H:H,'Raw Data'!B:B,4,'Raw Data'!D:D,"Thursday")</f>
        <v>0.79166666666666663</v>
      </c>
      <c r="F7" s="46">
        <f>AVERAGEIFS('Raw Data'!H:H,'Raw Data'!B:B,5,'Raw Data'!D:D,"Thursday")</f>
        <v>0.91333333333333333</v>
      </c>
      <c r="G7" s="46">
        <f>AVERAGEIFS('Raw Data'!H:H,'Raw Data'!B:B,6,'Raw Data'!D:D,"Thursday")</f>
        <v>0.6479166666666667</v>
      </c>
      <c r="H7" s="46">
        <f>AVERAGEIFS('Raw Data'!H:H,'Raw Data'!B:B,7,'Raw Data'!D:D,"Thursday")</f>
        <v>0.80624999999999991</v>
      </c>
      <c r="I7" s="46">
        <f>AVERAGEIFS('Raw Data'!H:H,'Raw Data'!B:B,8,'Raw Data'!D:D,"Thursday")</f>
        <v>0.755</v>
      </c>
      <c r="J7" s="46">
        <f>AVERAGEIFS('Raw Data'!H:H,'Raw Data'!B:B,9,'Raw Data'!D:D,"Thursday")</f>
        <v>0.66249999999999998</v>
      </c>
      <c r="K7" s="46">
        <f>AVERAGEIFS('Raw Data'!H:H,'Raw Data'!B:B,10,'Raw Data'!D:D,"Thursday")</f>
        <v>0.72</v>
      </c>
      <c r="L7" s="46">
        <f>AVERAGEIFS('Raw Data'!H:H,'Raw Data'!B:B,11,'Raw Data'!D:D,"Thursday")</f>
        <v>0.93124999999999991</v>
      </c>
      <c r="M7" s="46">
        <f>AVERAGEIFS('Raw Data'!H:H,'Raw Data'!B:B,12,'Raw Data'!D:D,"Thursday")</f>
        <v>0.87291666666666656</v>
      </c>
      <c r="N7" s="38">
        <f t="shared" si="0"/>
        <v>0.77923611111111113</v>
      </c>
    </row>
    <row r="8" spans="1:14" x14ac:dyDescent="0.3">
      <c r="A8" s="35" t="s">
        <v>57</v>
      </c>
      <c r="B8" s="37">
        <f>AVERAGEIFS('Raw Data'!H:H,'Raw Data'!B:B,1,'Raw Data'!D:D,"Friday")</f>
        <v>0.79999999999999993</v>
      </c>
      <c r="C8" s="46">
        <f>AVERAGEIFS('Raw Data'!H:H,'Raw Data'!B:B,2,'Raw Data'!D:D,"Friday")</f>
        <v>0.77083333333333326</v>
      </c>
      <c r="D8" s="46">
        <f>AVERAGEIFS('Raw Data'!H:H,'Raw Data'!B:B,3,'Raw Data'!D:D,"Friday")</f>
        <v>0.88666666666666671</v>
      </c>
      <c r="E8" s="46">
        <f>AVERAGEIFS('Raw Data'!H:H,'Raw Data'!B:B,4,'Raw Data'!D:D,"Friday")</f>
        <v>0.78958333333333341</v>
      </c>
      <c r="F8" s="46">
        <f>AVERAGEIFS('Raw Data'!H:H,'Raw Data'!B:B,5,'Raw Data'!D:D,"Friday")</f>
        <v>0.7616666666666666</v>
      </c>
      <c r="G8" s="46">
        <f>AVERAGEIFS('Raw Data'!H:H,'Raw Data'!B:B,6,'Raw Data'!D:D,"Friday")</f>
        <v>0.90625</v>
      </c>
      <c r="H8" s="46">
        <f>AVERAGEIFS('Raw Data'!H:H,'Raw Data'!B:B,7,'Raw Data'!D:D,"Friday")</f>
        <v>0.82499999999999996</v>
      </c>
      <c r="I8" s="46">
        <f>AVERAGEIFS('Raw Data'!H:H,'Raw Data'!B:B,8,'Raw Data'!D:D,"Friday")</f>
        <v>0.85166666666666679</v>
      </c>
      <c r="J8" s="46">
        <f>AVERAGEIFS('Raw Data'!H:H,'Raw Data'!B:B,9,'Raw Data'!D:D,"Friday")</f>
        <v>0.83749999999999991</v>
      </c>
      <c r="K8" s="46">
        <f>AVERAGEIFS('Raw Data'!H:H,'Raw Data'!B:B,10,'Raw Data'!D:D,"Friday")</f>
        <v>0.84375</v>
      </c>
      <c r="L8" s="46">
        <f>AVERAGEIFS('Raw Data'!H:H,'Raw Data'!B:B,11,'Raw Data'!D:D,"Friday")</f>
        <v>0.78500000000000003</v>
      </c>
      <c r="M8" s="46">
        <f>AVERAGEIFS('Raw Data'!H:H,'Raw Data'!B:B,12,'Raw Data'!D:D,"Friday")</f>
        <v>0.86875000000000002</v>
      </c>
      <c r="N8" s="38">
        <f t="shared" si="0"/>
        <v>0.8272222222222223</v>
      </c>
    </row>
    <row r="9" spans="1:14" x14ac:dyDescent="0.3">
      <c r="A9" s="35" t="s">
        <v>58</v>
      </c>
      <c r="B9" s="37">
        <f>AVERAGEIFS('Raw Data'!H:H,'Raw Data'!B:B,1,'Raw Data'!D:D,"Saturday")</f>
        <v>0.84166666666666667</v>
      </c>
      <c r="C9" s="46">
        <f>AVERAGEIFS('Raw Data'!H:H,'Raw Data'!B:B,2,'Raw Data'!D:D,"Saturday")</f>
        <v>0.74791666666666667</v>
      </c>
      <c r="D9" s="46">
        <f>AVERAGEIFS('Raw Data'!H:H,'Raw Data'!B:B,3,'Raw Data'!D:D,"Saturday")</f>
        <v>0.74833333333333329</v>
      </c>
      <c r="E9" s="46">
        <f>AVERAGEIFS('Raw Data'!H:H,'Raw Data'!B:B,4,'Raw Data'!D:D,"Saturday")</f>
        <v>0.78541666666666665</v>
      </c>
      <c r="F9" s="46">
        <f>AVERAGEIFS('Raw Data'!H:H,'Raw Data'!B:B,5,'Raw Data'!D:D,"Saturday")</f>
        <v>0.79791666666666661</v>
      </c>
      <c r="G9" s="46">
        <f>AVERAGEIFS('Raw Data'!H:H,'Raw Data'!B:B,6,'Raw Data'!D:D,"Saturday")</f>
        <v>0.70499999999999996</v>
      </c>
      <c r="H9" s="46">
        <f>AVERAGEIFS('Raw Data'!H:H,'Raw Data'!B:B,7,'Raw Data'!D:D,"Saturday")</f>
        <v>0.73124999999999996</v>
      </c>
      <c r="I9" s="46">
        <f>AVERAGEIFS('Raw Data'!H:H,'Raw Data'!B:B,8,'Raw Data'!D:D,"Saturday")</f>
        <v>0.83666666666666667</v>
      </c>
      <c r="J9" s="46">
        <f>AVERAGEIFS('Raw Data'!H:H,'Raw Data'!B:B,9,'Raw Data'!D:D,"Saturday")</f>
        <v>0.67500000000000004</v>
      </c>
      <c r="K9" s="46">
        <f>AVERAGEIFS('Raw Data'!H:H,'Raw Data'!B:B,10,'Raw Data'!D:D,"Saturday")</f>
        <v>0.82291666666666674</v>
      </c>
      <c r="L9" s="46">
        <f>AVERAGEIFS('Raw Data'!H:H,'Raw Data'!B:B,11,'Raw Data'!D:D,"Saturday")</f>
        <v>0.71500000000000008</v>
      </c>
      <c r="M9" s="46">
        <f>AVERAGEIFS('Raw Data'!H:H,'Raw Data'!B:B,12,'Raw Data'!D:D,"Saturday")</f>
        <v>0.81458333333333333</v>
      </c>
      <c r="N9" s="38">
        <f t="shared" si="0"/>
        <v>0.76847222222222233</v>
      </c>
    </row>
    <row r="10" spans="1:14" x14ac:dyDescent="0.3">
      <c r="A10" s="35" t="s">
        <v>59</v>
      </c>
      <c r="B10" s="37">
        <f>AVERAGEIFS('Raw Data'!H:H,'Raw Data'!B:B,1,'Raw Data'!D:D,"Sunday")</f>
        <v>0.6875</v>
      </c>
      <c r="C10" s="46">
        <f>AVERAGEIFS('Raw Data'!H:H,'Raw Data'!B:B,2,'Raw Data'!D:D,"Sunday")</f>
        <v>0.79791666666666661</v>
      </c>
      <c r="D10" s="46">
        <f>AVERAGEIFS('Raw Data'!H:H,'Raw Data'!B:B,3,'Raw Data'!D:D,"Sunday")</f>
        <v>0.76500000000000001</v>
      </c>
      <c r="E10" s="46">
        <f>AVERAGEIFS('Raw Data'!H:H,'Raw Data'!B:B,4,'Raw Data'!D:D,"Sunday")</f>
        <v>0.7416666666666667</v>
      </c>
      <c r="F10" s="46">
        <f>AVERAGEIFS('Raw Data'!H:H,'Raw Data'!B:B,5,'Raw Data'!D:D,"Sunday")</f>
        <v>0.76666666666666661</v>
      </c>
      <c r="G10" s="46">
        <f>AVERAGEIFS('Raw Data'!H:H,'Raw Data'!B:B,6,'Raw Data'!D:D,"Sunday")</f>
        <v>0.71333333333333337</v>
      </c>
      <c r="H10" s="46">
        <f>AVERAGEIFS('Raw Data'!H:H,'Raw Data'!B:B,7,'Raw Data'!D:D,"Sunday")</f>
        <v>0.77499999999999991</v>
      </c>
      <c r="I10" s="46">
        <f>AVERAGEIFS('Raw Data'!H:H,'Raw Data'!B:B,8,'Raw Data'!D:D,"Sunday")</f>
        <v>0.8</v>
      </c>
      <c r="J10" s="46">
        <f>AVERAGEIFS('Raw Data'!H:H,'Raw Data'!B:B,9,'Raw Data'!D:D,"Sunday")</f>
        <v>0.82</v>
      </c>
      <c r="K10" s="46">
        <f>AVERAGEIFS('Raw Data'!H:H,'Raw Data'!B:B,10,'Raw Data'!D:D,"Sunday")</f>
        <v>0.87291666666666667</v>
      </c>
      <c r="L10" s="46">
        <f>AVERAGEIFS('Raw Data'!H:H,'Raw Data'!B:B,11,'Raw Data'!D:D,"Sunday")</f>
        <v>0.83750000000000002</v>
      </c>
      <c r="M10" s="46">
        <f>AVERAGEIFS('Raw Data'!H:H,'Raw Data'!B:B,12,'Raw Data'!D:D,"Sunday")</f>
        <v>0.80999999999999994</v>
      </c>
      <c r="N10" s="38">
        <f t="shared" si="0"/>
        <v>0.78229166666666672</v>
      </c>
    </row>
    <row r="11" spans="1:14" x14ac:dyDescent="0.3">
      <c r="A11" s="34" t="s">
        <v>60</v>
      </c>
      <c r="B11" s="40">
        <f>AVERAGE(B4:B10)</f>
        <v>0.77577380952380948</v>
      </c>
      <c r="C11" s="40">
        <v>0.79100000000000004</v>
      </c>
      <c r="D11" s="40">
        <v>0.754</v>
      </c>
      <c r="E11" s="40">
        <f t="shared" ref="E11:K11" si="1">AVERAGE(E4:E10)</f>
        <v>0.79125000000000001</v>
      </c>
      <c r="F11" s="40">
        <f t="shared" si="1"/>
        <v>0.78416666666666668</v>
      </c>
      <c r="G11" s="40">
        <f t="shared" si="1"/>
        <v>0.75589285714285714</v>
      </c>
      <c r="H11" s="40">
        <f t="shared" si="1"/>
        <v>0.80202380952380936</v>
      </c>
      <c r="I11" s="40">
        <f t="shared" si="1"/>
        <v>0.79636904761904759</v>
      </c>
      <c r="J11" s="40">
        <f t="shared" si="1"/>
        <v>0.75607142857142862</v>
      </c>
      <c r="K11" s="40">
        <f t="shared" si="1"/>
        <v>0.81071428571428572</v>
      </c>
      <c r="L11" s="40">
        <v>0.81200000000000006</v>
      </c>
      <c r="M11" s="40">
        <f>AVERAGE(M4:M10)</f>
        <v>0.79577380952380949</v>
      </c>
      <c r="N11" s="40">
        <f>AVERAGE(N4:N10)</f>
        <v>0.78537202380952376</v>
      </c>
    </row>
    <row r="12" spans="1:14" x14ac:dyDescent="0.3">
      <c r="B12" s="33"/>
      <c r="C12" s="36"/>
      <c r="D12" s="36"/>
      <c r="L12" s="36"/>
    </row>
    <row r="13" spans="1:14" x14ac:dyDescent="0.3">
      <c r="B13" s="33"/>
    </row>
    <row r="14" spans="1:14" x14ac:dyDescent="0.3">
      <c r="B14" s="33"/>
    </row>
    <row r="15" spans="1:14" x14ac:dyDescent="0.3">
      <c r="B15" s="33"/>
    </row>
    <row r="16" spans="1:1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</sheetData>
  <mergeCells count="1">
    <mergeCell ref="A1:N1"/>
  </mergeCells>
  <phoneticPr fontId="4" type="noConversion"/>
  <conditionalFormatting sqref="B12:B15">
    <cfRule type="colorScale" priority="3">
      <colorScale>
        <cfvo type="min"/>
        <cfvo type="max"/>
        <color rgb="FFFFEF9C"/>
        <color rgb="FF63BE7B"/>
      </colorScale>
    </cfRule>
  </conditionalFormatting>
  <conditionalFormatting sqref="B4:M4 B6:M10 C4:M5">
    <cfRule type="colorScale" priority="2">
      <colorScale>
        <cfvo type="min"/>
        <cfvo type="max"/>
        <color rgb="FF63BE7B"/>
        <color rgb="FFFFEF9C"/>
      </colorScale>
    </cfRule>
  </conditionalFormatting>
  <conditionalFormatting sqref="B4:M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D319-87B7-45C7-AE4A-0C691F61B13E}">
  <dimension ref="B1:R29"/>
  <sheetViews>
    <sheetView workbookViewId="0">
      <selection activeCell="R3" sqref="R3"/>
    </sheetView>
  </sheetViews>
  <sheetFormatPr defaultRowHeight="14.4" x14ac:dyDescent="0.3"/>
  <cols>
    <col min="2" max="2" width="20.88671875" customWidth="1"/>
    <col min="4" max="4" width="1.33203125" customWidth="1"/>
    <col min="5" max="5" width="5.44140625" hidden="1" customWidth="1"/>
    <col min="6" max="6" width="27.21875" hidden="1" customWidth="1"/>
    <col min="7" max="7" width="18.44140625" hidden="1" customWidth="1"/>
    <col min="8" max="8" width="5" hidden="1" customWidth="1"/>
    <col min="9" max="9" width="20.77734375" customWidth="1"/>
    <col min="11" max="11" width="23" customWidth="1"/>
    <col min="13" max="13" width="20.77734375" customWidth="1"/>
  </cols>
  <sheetData>
    <row r="1" spans="2:16" ht="31.2" x14ac:dyDescent="0.6">
      <c r="I1" s="29" t="s">
        <v>36</v>
      </c>
      <c r="J1" s="29"/>
      <c r="K1" s="29"/>
    </row>
    <row r="2" spans="2:16" ht="21.6" thickBot="1" x14ac:dyDescent="0.45">
      <c r="B2" s="19"/>
      <c r="D2" s="19"/>
      <c r="F2" s="21"/>
    </row>
    <row r="3" spans="2:16" ht="24" thickBot="1" x14ac:dyDescent="0.5">
      <c r="B3" s="23"/>
      <c r="D3" s="20"/>
      <c r="F3" s="22"/>
      <c r="I3" s="25" t="s">
        <v>10</v>
      </c>
      <c r="J3" s="26"/>
      <c r="K3" s="27" t="s">
        <v>34</v>
      </c>
      <c r="L3" s="26"/>
      <c r="M3" s="28" t="s">
        <v>35</v>
      </c>
    </row>
    <row r="4" spans="2:16" ht="24" thickBot="1" x14ac:dyDescent="0.5">
      <c r="F4" s="17"/>
      <c r="I4" s="42">
        <f>'Monthly Summary'!C16</f>
        <v>630120</v>
      </c>
      <c r="J4" s="26"/>
      <c r="K4" s="27">
        <f>'Monthly Summary'!E16</f>
        <v>0.78499327956989262</v>
      </c>
      <c r="L4" s="26"/>
      <c r="M4" s="41">
        <f>'Monthly Summary'!G16</f>
        <v>69.86440188172044</v>
      </c>
      <c r="P4" t="s">
        <v>37</v>
      </c>
    </row>
    <row r="29" spans="18:18" x14ac:dyDescent="0.3">
      <c r="R29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Monthly Summary</vt:lpstr>
      <vt:lpstr>Heatmap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S</dc:creator>
  <cp:lastModifiedBy>Karishma S</cp:lastModifiedBy>
  <dcterms:created xsi:type="dcterms:W3CDTF">2026-04-15T14:56:33Z</dcterms:created>
  <dcterms:modified xsi:type="dcterms:W3CDTF">2026-04-18T06:27:47Z</dcterms:modified>
</cp:coreProperties>
</file>